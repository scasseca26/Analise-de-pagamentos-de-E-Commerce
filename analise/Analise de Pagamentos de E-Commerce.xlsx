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\Documents\My Docs BI\"/>
    </mc:Choice>
  </mc:AlternateContent>
  <xr:revisionPtr revIDLastSave="0" documentId="13_ncr:1_{586E49EF-F784-4522-9EA0-1C6AE1CB210A}" xr6:coauthVersionLast="47" xr6:coauthVersionMax="47" xr10:uidLastSave="{00000000-0000-0000-0000-000000000000}"/>
  <bookViews>
    <workbookView xWindow="-108" yWindow="-108" windowWidth="23256" windowHeight="12576" firstSheet="1" activeTab="5" xr2:uid="{F192A4D9-915E-42DD-9A1C-6E8A5BFC5807}"/>
  </bookViews>
  <sheets>
    <sheet name="dataset" sheetId="2" r:id="rId1"/>
    <sheet name="Receita_por_pagamento" sheetId="3" r:id="rId2"/>
    <sheet name="Quantidade_por_meio" sheetId="5" r:id="rId3"/>
    <sheet name="Pagamento_por_regiao" sheetId="6" r:id="rId4"/>
    <sheet name="Categoria_por_Meio" sheetId="7" r:id="rId5"/>
    <sheet name="Dashboard" sheetId="1" r:id="rId6"/>
  </sheets>
  <definedNames>
    <definedName name="DadosExternos_1" localSheetId="0" hidden="1">dataset!$A$1:$K$241</definedName>
    <definedName name="SegmentaçãodeDados_Meses">#N/A</definedName>
  </definedNames>
  <calcPr calcId="191029"/>
  <pivotCaches>
    <pivotCache cacheId="16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I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G53" i="2"/>
  <c r="I53" i="2" s="1"/>
  <c r="G54" i="2"/>
  <c r="I54" i="2" s="1"/>
  <c r="G55" i="2"/>
  <c r="I55" i="2" s="1"/>
  <c r="G56" i="2"/>
  <c r="I56" i="2" s="1"/>
  <c r="G57" i="2"/>
  <c r="I57" i="2" s="1"/>
  <c r="G58" i="2"/>
  <c r="I58" i="2" s="1"/>
  <c r="G59" i="2"/>
  <c r="I59" i="2" s="1"/>
  <c r="G60" i="2"/>
  <c r="I60" i="2" s="1"/>
  <c r="G61" i="2"/>
  <c r="I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I68" i="2" s="1"/>
  <c r="G69" i="2"/>
  <c r="I69" i="2" s="1"/>
  <c r="G70" i="2"/>
  <c r="I70" i="2" s="1"/>
  <c r="G71" i="2"/>
  <c r="I71" i="2" s="1"/>
  <c r="G72" i="2"/>
  <c r="I72" i="2" s="1"/>
  <c r="G73" i="2"/>
  <c r="I73" i="2" s="1"/>
  <c r="G74" i="2"/>
  <c r="I74" i="2" s="1"/>
  <c r="G75" i="2"/>
  <c r="I75" i="2" s="1"/>
  <c r="G76" i="2"/>
  <c r="I76" i="2" s="1"/>
  <c r="G77" i="2"/>
  <c r="I77" i="2" s="1"/>
  <c r="G78" i="2"/>
  <c r="I78" i="2" s="1"/>
  <c r="G79" i="2"/>
  <c r="I79" i="2" s="1"/>
  <c r="G80" i="2"/>
  <c r="I80" i="2" s="1"/>
  <c r="G81" i="2"/>
  <c r="I81" i="2" s="1"/>
  <c r="G82" i="2"/>
  <c r="I82" i="2" s="1"/>
  <c r="G83" i="2"/>
  <c r="I83" i="2" s="1"/>
  <c r="G84" i="2"/>
  <c r="I84" i="2" s="1"/>
  <c r="G85" i="2"/>
  <c r="I85" i="2" s="1"/>
  <c r="G86" i="2"/>
  <c r="I86" i="2" s="1"/>
  <c r="G87" i="2"/>
  <c r="I87" i="2" s="1"/>
  <c r="G88" i="2"/>
  <c r="I88" i="2" s="1"/>
  <c r="G89" i="2"/>
  <c r="I89" i="2" s="1"/>
  <c r="G90" i="2"/>
  <c r="I90" i="2" s="1"/>
  <c r="G91" i="2"/>
  <c r="I91" i="2" s="1"/>
  <c r="G92" i="2"/>
  <c r="I92" i="2" s="1"/>
  <c r="G93" i="2"/>
  <c r="I93" i="2" s="1"/>
  <c r="G94" i="2"/>
  <c r="I94" i="2" s="1"/>
  <c r="G95" i="2"/>
  <c r="I95" i="2" s="1"/>
  <c r="G96" i="2"/>
  <c r="I96" i="2" s="1"/>
  <c r="G97" i="2"/>
  <c r="I97" i="2" s="1"/>
  <c r="G98" i="2"/>
  <c r="I98" i="2" s="1"/>
  <c r="G99" i="2"/>
  <c r="I99" i="2" s="1"/>
  <c r="G100" i="2"/>
  <c r="I100" i="2" s="1"/>
  <c r="G101" i="2"/>
  <c r="I101" i="2" s="1"/>
  <c r="G102" i="2"/>
  <c r="I102" i="2" s="1"/>
  <c r="G103" i="2"/>
  <c r="I103" i="2" s="1"/>
  <c r="G104" i="2"/>
  <c r="I104" i="2" s="1"/>
  <c r="G105" i="2"/>
  <c r="I105" i="2" s="1"/>
  <c r="G106" i="2"/>
  <c r="I106" i="2" s="1"/>
  <c r="G107" i="2"/>
  <c r="I107" i="2" s="1"/>
  <c r="G108" i="2"/>
  <c r="I108" i="2" s="1"/>
  <c r="G109" i="2"/>
  <c r="I109" i="2" s="1"/>
  <c r="G110" i="2"/>
  <c r="I110" i="2" s="1"/>
  <c r="G111" i="2"/>
  <c r="I111" i="2" s="1"/>
  <c r="G112" i="2"/>
  <c r="I112" i="2" s="1"/>
  <c r="G113" i="2"/>
  <c r="I113" i="2" s="1"/>
  <c r="G114" i="2"/>
  <c r="I114" i="2" s="1"/>
  <c r="G115" i="2"/>
  <c r="I115" i="2" s="1"/>
  <c r="G116" i="2"/>
  <c r="I116" i="2" s="1"/>
  <c r="G117" i="2"/>
  <c r="I117" i="2" s="1"/>
  <c r="G118" i="2"/>
  <c r="I118" i="2" s="1"/>
  <c r="G119" i="2"/>
  <c r="I119" i="2" s="1"/>
  <c r="G120" i="2"/>
  <c r="I120" i="2" s="1"/>
  <c r="G121" i="2"/>
  <c r="I121" i="2" s="1"/>
  <c r="G122" i="2"/>
  <c r="I122" i="2" s="1"/>
  <c r="G123" i="2"/>
  <c r="I123" i="2" s="1"/>
  <c r="G124" i="2"/>
  <c r="I124" i="2" s="1"/>
  <c r="G125" i="2"/>
  <c r="I125" i="2" s="1"/>
  <c r="G126" i="2"/>
  <c r="I126" i="2" s="1"/>
  <c r="G127" i="2"/>
  <c r="I127" i="2" s="1"/>
  <c r="G128" i="2"/>
  <c r="I128" i="2" s="1"/>
  <c r="G129" i="2"/>
  <c r="I129" i="2" s="1"/>
  <c r="G130" i="2"/>
  <c r="I130" i="2" s="1"/>
  <c r="G131" i="2"/>
  <c r="I131" i="2" s="1"/>
  <c r="G132" i="2"/>
  <c r="I132" i="2" s="1"/>
  <c r="G133" i="2"/>
  <c r="I133" i="2" s="1"/>
  <c r="G134" i="2"/>
  <c r="I134" i="2" s="1"/>
  <c r="G135" i="2"/>
  <c r="I135" i="2" s="1"/>
  <c r="G136" i="2"/>
  <c r="I136" i="2" s="1"/>
  <c r="G137" i="2"/>
  <c r="I137" i="2" s="1"/>
  <c r="G138" i="2"/>
  <c r="I138" i="2" s="1"/>
  <c r="G139" i="2"/>
  <c r="I139" i="2" s="1"/>
  <c r="G140" i="2"/>
  <c r="I140" i="2" s="1"/>
  <c r="G141" i="2"/>
  <c r="I141" i="2" s="1"/>
  <c r="G142" i="2"/>
  <c r="I142" i="2" s="1"/>
  <c r="G143" i="2"/>
  <c r="I143" i="2" s="1"/>
  <c r="G144" i="2"/>
  <c r="I144" i="2" s="1"/>
  <c r="G145" i="2"/>
  <c r="I145" i="2" s="1"/>
  <c r="G146" i="2"/>
  <c r="I146" i="2" s="1"/>
  <c r="G147" i="2"/>
  <c r="I147" i="2" s="1"/>
  <c r="G148" i="2"/>
  <c r="I148" i="2" s="1"/>
  <c r="G149" i="2"/>
  <c r="I149" i="2" s="1"/>
  <c r="G150" i="2"/>
  <c r="I150" i="2" s="1"/>
  <c r="G151" i="2"/>
  <c r="I151" i="2" s="1"/>
  <c r="G152" i="2"/>
  <c r="I152" i="2" s="1"/>
  <c r="G153" i="2"/>
  <c r="I153" i="2" s="1"/>
  <c r="G154" i="2"/>
  <c r="I154" i="2" s="1"/>
  <c r="G155" i="2"/>
  <c r="I155" i="2" s="1"/>
  <c r="G156" i="2"/>
  <c r="I156" i="2" s="1"/>
  <c r="G157" i="2"/>
  <c r="I157" i="2" s="1"/>
  <c r="G158" i="2"/>
  <c r="I158" i="2" s="1"/>
  <c r="G159" i="2"/>
  <c r="I159" i="2" s="1"/>
  <c r="G160" i="2"/>
  <c r="I160" i="2" s="1"/>
  <c r="G161" i="2"/>
  <c r="I161" i="2" s="1"/>
  <c r="G162" i="2"/>
  <c r="I162" i="2" s="1"/>
  <c r="G163" i="2"/>
  <c r="I163" i="2" s="1"/>
  <c r="G164" i="2"/>
  <c r="I164" i="2" s="1"/>
  <c r="G165" i="2"/>
  <c r="I165" i="2" s="1"/>
  <c r="G166" i="2"/>
  <c r="I166" i="2" s="1"/>
  <c r="G167" i="2"/>
  <c r="I167" i="2" s="1"/>
  <c r="G168" i="2"/>
  <c r="I168" i="2" s="1"/>
  <c r="G169" i="2"/>
  <c r="I169" i="2" s="1"/>
  <c r="G170" i="2"/>
  <c r="I170" i="2" s="1"/>
  <c r="G171" i="2"/>
  <c r="I171" i="2" s="1"/>
  <c r="G172" i="2"/>
  <c r="I172" i="2" s="1"/>
  <c r="G173" i="2"/>
  <c r="I173" i="2" s="1"/>
  <c r="G174" i="2"/>
  <c r="I174" i="2" s="1"/>
  <c r="G175" i="2"/>
  <c r="I175" i="2" s="1"/>
  <c r="G176" i="2"/>
  <c r="I176" i="2" s="1"/>
  <c r="G177" i="2"/>
  <c r="I177" i="2" s="1"/>
  <c r="G178" i="2"/>
  <c r="I178" i="2" s="1"/>
  <c r="G179" i="2"/>
  <c r="I179" i="2" s="1"/>
  <c r="G180" i="2"/>
  <c r="I180" i="2" s="1"/>
  <c r="G181" i="2"/>
  <c r="I181" i="2" s="1"/>
  <c r="G182" i="2"/>
  <c r="I182" i="2" s="1"/>
  <c r="G183" i="2"/>
  <c r="I183" i="2" s="1"/>
  <c r="G184" i="2"/>
  <c r="I184" i="2" s="1"/>
  <c r="G185" i="2"/>
  <c r="I185" i="2" s="1"/>
  <c r="G186" i="2"/>
  <c r="I186" i="2" s="1"/>
  <c r="G187" i="2"/>
  <c r="I187" i="2" s="1"/>
  <c r="G188" i="2"/>
  <c r="I188" i="2" s="1"/>
  <c r="G189" i="2"/>
  <c r="I189" i="2" s="1"/>
  <c r="G190" i="2"/>
  <c r="I190" i="2" s="1"/>
  <c r="G191" i="2"/>
  <c r="I191" i="2" s="1"/>
  <c r="G192" i="2"/>
  <c r="I192" i="2" s="1"/>
  <c r="G193" i="2"/>
  <c r="I193" i="2" s="1"/>
  <c r="G194" i="2"/>
  <c r="I194" i="2" s="1"/>
  <c r="G195" i="2"/>
  <c r="I195" i="2" s="1"/>
  <c r="G196" i="2"/>
  <c r="I196" i="2" s="1"/>
  <c r="G197" i="2"/>
  <c r="I197" i="2" s="1"/>
  <c r="G198" i="2"/>
  <c r="I198" i="2" s="1"/>
  <c r="G199" i="2"/>
  <c r="I199" i="2" s="1"/>
  <c r="G200" i="2"/>
  <c r="I200" i="2" s="1"/>
  <c r="G201" i="2"/>
  <c r="I201" i="2" s="1"/>
  <c r="G202" i="2"/>
  <c r="I202" i="2" s="1"/>
  <c r="G203" i="2"/>
  <c r="I203" i="2" s="1"/>
  <c r="G204" i="2"/>
  <c r="I204" i="2" s="1"/>
  <c r="G205" i="2"/>
  <c r="I205" i="2" s="1"/>
  <c r="G206" i="2"/>
  <c r="I206" i="2" s="1"/>
  <c r="G207" i="2"/>
  <c r="I207" i="2" s="1"/>
  <c r="G208" i="2"/>
  <c r="I208" i="2" s="1"/>
  <c r="G209" i="2"/>
  <c r="I209" i="2" s="1"/>
  <c r="G210" i="2"/>
  <c r="I210" i="2" s="1"/>
  <c r="G211" i="2"/>
  <c r="I211" i="2" s="1"/>
  <c r="G212" i="2"/>
  <c r="I212" i="2" s="1"/>
  <c r="G213" i="2"/>
  <c r="I213" i="2" s="1"/>
  <c r="G214" i="2"/>
  <c r="I214" i="2" s="1"/>
  <c r="G215" i="2"/>
  <c r="I215" i="2" s="1"/>
  <c r="G216" i="2"/>
  <c r="I216" i="2" s="1"/>
  <c r="G217" i="2"/>
  <c r="I217" i="2" s="1"/>
  <c r="G218" i="2"/>
  <c r="I218" i="2" s="1"/>
  <c r="G219" i="2"/>
  <c r="I219" i="2" s="1"/>
  <c r="G220" i="2"/>
  <c r="I220" i="2" s="1"/>
  <c r="G221" i="2"/>
  <c r="I221" i="2" s="1"/>
  <c r="G222" i="2"/>
  <c r="I222" i="2" s="1"/>
  <c r="G223" i="2"/>
  <c r="I223" i="2" s="1"/>
  <c r="G224" i="2"/>
  <c r="I224" i="2" s="1"/>
  <c r="G225" i="2"/>
  <c r="I225" i="2" s="1"/>
  <c r="G226" i="2"/>
  <c r="I226" i="2" s="1"/>
  <c r="G227" i="2"/>
  <c r="I227" i="2" s="1"/>
  <c r="G228" i="2"/>
  <c r="I228" i="2" s="1"/>
  <c r="G229" i="2"/>
  <c r="I229" i="2" s="1"/>
  <c r="G230" i="2"/>
  <c r="I230" i="2" s="1"/>
  <c r="G231" i="2"/>
  <c r="I231" i="2" s="1"/>
  <c r="G232" i="2"/>
  <c r="I232" i="2" s="1"/>
  <c r="G233" i="2"/>
  <c r="I233" i="2" s="1"/>
  <c r="G234" i="2"/>
  <c r="I234" i="2" s="1"/>
  <c r="G235" i="2"/>
  <c r="I235" i="2" s="1"/>
  <c r="G236" i="2"/>
  <c r="I236" i="2" s="1"/>
  <c r="G237" i="2"/>
  <c r="I237" i="2" s="1"/>
  <c r="G238" i="2"/>
  <c r="I238" i="2" s="1"/>
  <c r="G239" i="2"/>
  <c r="I239" i="2" s="1"/>
  <c r="G240" i="2"/>
  <c r="I240" i="2" s="1"/>
  <c r="G241" i="2"/>
  <c r="I24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437455-6BA5-48E7-91D4-DF6EB053ABC7}" keepAlive="1" name="Consulta - Online Sales Data" description="Conexão com a consulta 'Online Sales Data' na pasta de trabalho." type="5" refreshedVersion="7" background="1" saveData="1">
    <dbPr connection="Provider=Microsoft.Mashup.OleDb.1;Data Source=$Workbook$;Location=&quot;Online Sales Data&quot;;Extended Properties=&quot;&quot;" command="SELECT * FROM [Online Sales Data]"/>
  </connection>
</connections>
</file>

<file path=xl/sharedStrings.xml><?xml version="1.0" encoding="utf-8"?>
<sst xmlns="http://schemas.openxmlformats.org/spreadsheetml/2006/main" count="1011" uniqueCount="261">
  <si>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</si>
  <si>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</si>
  <si>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</si>
  <si>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</si>
  <si>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</si>
  <si>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</si>
  <si>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</si>
  <si>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</si>
  <si>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</si>
  <si>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</si>
  <si>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</si>
  <si>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</si>
  <si>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</si>
  <si>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</si>
  <si>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</si>
  <si>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</si>
  <si>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</si>
  <si>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</si>
  <si>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</si>
  <si>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</si>
  <si>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</si>
  <si>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</si>
  <si>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</si>
  <si>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</si>
  <si>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</si>
  <si>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</si>
  <si>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</si>
  <si>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</si>
  <si>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</si>
  <si>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</si>
  <si>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</si>
  <si>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</si>
  <si>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</si>
  <si>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</si>
  <si>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</si>
  <si>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</si>
  <si>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</si>
  <si>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</si>
  <si>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</si>
  <si>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</si>
  <si>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</si>
  <si>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</si>
  <si>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</si>
  <si>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</si>
  <si>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</si>
  <si>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</si>
  <si>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</si>
  <si>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</si>
  <si>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</si>
  <si>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</si>
  <si>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</si>
  <si>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</si>
  <si>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</si>
  <si>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</si>
  <si>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</si>
  <si>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</si>
  <si>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</si>
  <si>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</si>
  <si>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</si>
  <si>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</si>
  <si>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</si>
  <si>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</si>
  <si>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</si>
  <si>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</si>
  <si>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</si>
  <si>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</si>
  <si>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</si>
  <si>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</si>
  <si>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</si>
  <si>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</si>
  <si>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</si>
  <si>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</si>
  <si>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</si>
  <si>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</si>
  <si>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</si>
  <si>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</si>
  <si>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</si>
  <si>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</si>
  <si>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</si>
  <si>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</si>
  <si>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</si>
  <si>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</si>
  <si>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</si>
  <si>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</si>
  <si>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</si>
  <si>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</si>
  <si>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</si>
  <si>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</si>
  <si>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</si>
  <si>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</si>
  <si>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</si>
  <si>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</si>
  <si>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</si>
  <si>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</si>
  <si>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</si>
  <si>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</si>
  <si>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</si>
  <si>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</si>
  <si>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</si>
  <si>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</si>
  <si>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</si>
  <si>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</si>
  <si>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</si>
  <si>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</si>
  <si>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</si>
  <si>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</si>
  <si>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</si>
  <si>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</si>
  <si>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</si>
  <si>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</si>
  <si>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</si>
  <si>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</si>
  <si>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</si>
  <si>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</si>
  <si>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</si>
  <si>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</si>
  <si>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</si>
  <si>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</si>
  <si>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</si>
  <si>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</si>
  <si>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</si>
  <si>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</si>
  <si>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</si>
  <si>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</si>
  <si>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</si>
  <si>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</si>
  <si>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</si>
  <si>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</si>
  <si>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</si>
  <si>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</si>
  <si>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</si>
  <si>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</si>
  <si>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</si>
  <si>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</si>
  <si>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</si>
  <si>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</si>
  <si>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</si>
  <si>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</si>
  <si>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</si>
  <si>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</si>
  <si>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</si>
  <si>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</si>
  <si>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</si>
  <si>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</si>
  <si>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</si>
  <si>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</si>
  <si>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</si>
  <si>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</si>
  <si>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</si>
  <si>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</si>
  <si>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</si>
  <si>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</si>
  <si>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</si>
  <si>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</si>
  <si>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</si>
  <si>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</si>
  <si>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</si>
  <si>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</si>
  <si>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</si>
  <si>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</si>
  <si>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</si>
  <si>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</si>
  <si>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</si>
  <si>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</si>
  <si>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</si>
  <si>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</si>
  <si>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</si>
  <si>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</si>
  <si>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</si>
  <si>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</si>
  <si>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</si>
  <si>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</si>
  <si>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</si>
  <si>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</si>
  <si>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</si>
  <si>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</si>
  <si>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</si>
  <si>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</si>
  <si>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</si>
  <si>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</si>
  <si>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</si>
  <si>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</si>
  <si>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</si>
  <si>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</si>
  <si>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</si>
  <si>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</si>
  <si>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</si>
  <si>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</si>
  <si>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</si>
  <si>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</si>
  <si>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</si>
  <si>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</si>
  <si>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</si>
  <si>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</si>
  <si>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</si>
  <si>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</si>
  <si>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</si>
  <si>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</si>
  <si>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</si>
  <si>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</si>
  <si>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</si>
  <si>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</si>
  <si>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</si>
  <si>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</si>
  <si>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</si>
  <si>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</si>
  <si>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</si>
  <si>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</si>
  <si>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</si>
  <si>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</si>
  <si>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</si>
  <si>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</si>
  <si>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</si>
  <si>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</si>
  <si>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</si>
  <si>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</si>
  <si>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</si>
  <si>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</si>
  <si>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</si>
  <si>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</si>
  <si>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</si>
  <si>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</si>
  <si>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</si>
  <si>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</si>
  <si>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</si>
  <si>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</si>
  <si>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</si>
  <si>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</si>
  <si>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</si>
  <si>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</si>
  <si>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</si>
  <si>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</si>
  <si>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</si>
  <si>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</si>
  <si>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</si>
  <si>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</si>
  <si>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</si>
  <si>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</si>
  <si>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</si>
  <si>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</si>
  <si>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</si>
  <si>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</si>
  <si>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</si>
  <si>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</si>
  <si>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</si>
  <si>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</si>
  <si>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</si>
  <si>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</si>
  <si>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</si>
  <si>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</si>
  <si>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</si>
  <si>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</si>
  <si>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</si>
  <si>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Expected Revenue</t>
  </si>
  <si>
    <t>Discount</t>
  </si>
  <si>
    <t>Rótulos de Linha</t>
  </si>
  <si>
    <t>Total Geral</t>
  </si>
  <si>
    <t>Soma de Total Revenue</t>
  </si>
  <si>
    <t>Contagem de Transaction ID</t>
  </si>
  <si>
    <t>Rótulos de Coluna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</si>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</sst>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_-* #,##0.00\ [$USD]_-;\-* #,##0.00\ [$USD]_-;_-* &quot;-&quot;??\ [$USD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NumberFormat="1"/>
    <xf numFmtId="164" fontId="0" fillId="0" borderId="0" xfId="1" applyNumberFormat="1" applyFont="1"/>
  </cellXfs>
  <cellStyles count="2">
    <cellStyle name="Moeda" xfId="1" builtinId="4"/>
    <cellStyle name="Normal" xfId="0" builtinId="0"/>
  </cellStyles>
  <dxfs count="82"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font>
        <b/>
        <i val="0"/>
        <sz val="18"/>
        <color theme="0"/>
      </font>
      <fill>
        <patternFill>
          <bgColor theme="4" tint="-0.24994659260841701"/>
        </patternFill>
      </fill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164" formatCode="_-* #,##0.00\ [$USD]_-;\-* #,##0.00\ [$USD]_-;_-* &quot;-&quot;??\ [$USD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1" defaultTableStyle="TableStyleMedium2" defaultPivotStyle="PivotStyleLight16">
    <tableStyle name="Novo modelo" pivot="0" table="0" count="3" xr9:uid="{32101312-6F3A-4424-93CA-7A7A88986925}">
      <tableStyleElement type="wholeTable" dxfId="28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8" tint="-0.24994659260841701"/>
            </patternFill>
          </fill>
        </dxf>
        <dxf>
          <font>
            <b/>
            <i val="0"/>
            <sz val="18"/>
            <color auto="1"/>
          </font>
          <fill>
            <patternFill>
              <bgColor theme="0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ill>
            <patternFill>
              <bgColor theme="8" tint="-0.24994659260841701"/>
            </patternFill>
          </fill>
        </dxf>
        <dxf>
          <font>
            <b/>
            <i val="0"/>
            <sz val="18"/>
            <color auto="1"/>
          </font>
          <fill>
            <patternFill>
              <bgColor theme="0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ovo modelo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 Vitual.xlsx]Pagamento_por_regiao!Tabela dinâmica4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600"/>
              <a:t>Meio</a:t>
            </a:r>
            <a:r>
              <a:rPr lang="pt-PT" sz="1600" baseline="0"/>
              <a:t> de Pagamentos por Região</a:t>
            </a:r>
            <a:endParaRPr lang="pt-P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152400" cap="flat" cmpd="sng" algn="ctr">
            <a:solidFill>
              <a:schemeClr val="accent2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bg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12510936132983"/>
          <c:y val="0.20943204868154158"/>
          <c:w val="0.70740480516858473"/>
          <c:h val="0.55032182843270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Pagamento_por_regiao!$B$3:$B$4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Pagamento_por_regiao!$A$5:$A$8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Pagamento_por_regiao!$B$5:$B$8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3-4233-B251-4DB00A6D554E}"/>
            </c:ext>
          </c:extLst>
        </c:ser>
        <c:ser>
          <c:idx val="1"/>
          <c:order val="1"/>
          <c:tx>
            <c:strRef>
              <c:f>Pagamento_por_regiao!$C$3:$C$4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152400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bg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43-4233-B251-4DB00A6D55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Pagamento_por_regiao!$A$5:$A$8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Pagamento_por_regiao!$C$5:$C$8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3-4233-B251-4DB00A6D554E}"/>
            </c:ext>
          </c:extLst>
        </c:ser>
        <c:ser>
          <c:idx val="2"/>
          <c:order val="2"/>
          <c:tx>
            <c:strRef>
              <c:f>Pagamento_por_regiao!$D$3:$D$4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Pagamento_por_regiao!$A$5:$A$8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Pagamento_por_regiao!$D$5:$D$8</c:f>
              <c:numCache>
                <c:formatCode>0.00%</c:formatCode>
                <c:ptCount val="3"/>
                <c:pt idx="0">
                  <c:v>0.66666666666666663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3-4233-B251-4DB00A6D55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4529104"/>
        <c:axId val="2114536176"/>
      </c:barChart>
      <c:catAx>
        <c:axId val="211452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4536176"/>
        <c:crosses val="autoZero"/>
        <c:auto val="1"/>
        <c:lblAlgn val="ctr"/>
        <c:lblOffset val="100"/>
        <c:noMultiLvlLbl val="0"/>
      </c:catAx>
      <c:valAx>
        <c:axId val="211453617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114529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 Vitual.xlsx]Quantidade_por_meio!Tabela dinâmica4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QUANTIDADE POR MEIOS DE PAGAMENTOS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240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54000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Quantidade_por_meio!$B$11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2400"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54000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Quantidade_por_meio!$A$12:$A$15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Quantidade_por_meio!$B$12:$B$15</c:f>
              <c:numCache>
                <c:formatCode>General</c:formatCode>
                <c:ptCount val="3"/>
                <c:pt idx="0">
                  <c:v>120</c:v>
                </c:pt>
                <c:pt idx="1">
                  <c:v>40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96-441A-95B6-5D975D232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5815168"/>
        <c:axId val="2115819328"/>
      </c:barChart>
      <c:catAx>
        <c:axId val="21158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5819328"/>
        <c:crosses val="autoZero"/>
        <c:auto val="1"/>
        <c:lblAlgn val="ctr"/>
        <c:lblOffset val="100"/>
        <c:noMultiLvlLbl val="0"/>
      </c:catAx>
      <c:valAx>
        <c:axId val="2115819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581516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 Vitual.xlsx]Receita_por_pagamento!Tabela dinâmica1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/>
              <a:t>RECEITA</a:t>
            </a:r>
            <a:r>
              <a:rPr lang="pt-PT" sz="1400" b="1" baseline="0"/>
              <a:t>  POR MEIO DE PAGAMENTO</a:t>
            </a:r>
            <a:endParaRPr lang="pt-PT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240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Receita_por_pagamento!$B$3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52400"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Receita_por_pagamento!$A$4:$A$7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Receita_por_pagamento!$B$4:$B$7</c:f>
              <c:numCache>
                <c:formatCode>_-* #\ ##0.00\ [$USD]_-;\-* #\ ##0.00\ [$USD]_-;_-* "-"??\ [$USD]_-;_-@_-</c:formatCode>
                <c:ptCount val="3"/>
                <c:pt idx="0">
                  <c:v>51170.860000000015</c:v>
                </c:pt>
                <c:pt idx="1">
                  <c:v>8128.9300000000012</c:v>
                </c:pt>
                <c:pt idx="2">
                  <c:v>21268.060000000005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AFD-8597-B7016E53F5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865984"/>
        <c:axId val="109867232"/>
      </c:barChart>
      <c:catAx>
        <c:axId val="10986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9867232"/>
        <c:crosses val="autoZero"/>
        <c:auto val="1"/>
        <c:lblAlgn val="ctr"/>
        <c:lblOffset val="100"/>
        <c:noMultiLvlLbl val="0"/>
      </c:catAx>
      <c:valAx>
        <c:axId val="109867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USD]_-;\-* #\ ##0.00\ [$USD]_-;_-* &quot;-&quot;??\ [$USD]_-;_-@_-" sourceLinked="1"/>
        <c:majorTickMark val="none"/>
        <c:minorTickMark val="none"/>
        <c:tickLblPos val="nextTo"/>
        <c:crossAx val="10986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 Vitual.xlsx]Categoria_por_Meio!Tabela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 b="1" baseline="0">
                <a:solidFill>
                  <a:sysClr val="windowText" lastClr="000000"/>
                </a:solidFill>
              </a:rPr>
              <a:t>Produtos por meio de pagamento</a:t>
            </a:r>
            <a:endParaRPr lang="pt-P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16456692913388"/>
          <c:y val="7.1574694015638915E-2"/>
          <c:w val="0.45106325459317592"/>
          <c:h val="0.925017041581458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Categoria_por_Meio!$B$3:$B$4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Categoria_por_Meio!$A$5:$A$11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Categoria_por_Meio!$B$5:$B$11</c:f>
              <c:numCache>
                <c:formatCode>_-* #\ ##0.00\ [$USD]_-;\-* #\ ##0.00\ [$USD]_-;_-* "-"??\ [$USD]_-;_-@_-</c:formatCode>
                <c:ptCount val="6"/>
                <c:pt idx="1">
                  <c:v>1861.9300000000007</c:v>
                </c:pt>
                <c:pt idx="3">
                  <c:v>34982.410000000011</c:v>
                </c:pt>
                <c:pt idx="5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9-44C0-AAA4-E2A31726B20A}"/>
            </c:ext>
          </c:extLst>
        </c:ser>
        <c:ser>
          <c:idx val="1"/>
          <c:order val="1"/>
          <c:tx>
            <c:strRef>
              <c:f>Categoria_por_Meio!$C$3:$C$4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Categoria_por_Meio!$A$5:$A$11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Categoria_por_Meio!$C$5:$C$11</c:f>
              <c:numCache>
                <c:formatCode>_-* #\ ##0.00\ [$USD]_-;\-* #\ ##0.00\ [$USD]_-;_-* "-"??\ [$USD]_-;_-@_-</c:formatCode>
                <c:ptCount val="6"/>
                <c:pt idx="2">
                  <c:v>8128.9300000000012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9-44C0-AAA4-E2A31726B20A}"/>
            </c:ext>
          </c:extLst>
        </c:ser>
        <c:ser>
          <c:idx val="2"/>
          <c:order val="2"/>
          <c:tx>
            <c:strRef>
              <c:f>Categoria_por_Meio!$D$3:$D$4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Categoria_por_Meio!$A$5:$A$11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Categoria_por_Meio!$D$5:$D$11</c:f>
              <c:numCache>
                <c:formatCode>_-* #\ ##0.00\ [$USD]_-;\-* #\ ##0.00\ [$USD]_-;_-* "-"??\ [$USD]_-;_-@_-</c:formatCode>
                <c:ptCount val="6"/>
                <c:pt idx="0">
                  <c:v>2621.8999999999996</c:v>
                </c:pt>
                <c:pt idx="4">
                  <c:v>18646.16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9-44C0-AAA4-E2A31726B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100"/>
        <c:axId val="2114605408"/>
        <c:axId val="2114606240"/>
      </c:barChart>
      <c:catAx>
        <c:axId val="21146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14606240"/>
        <c:crosses val="autoZero"/>
        <c:auto val="1"/>
        <c:lblAlgn val="ctr"/>
        <c:lblOffset val="100"/>
        <c:noMultiLvlLbl val="0"/>
      </c:catAx>
      <c:valAx>
        <c:axId val="2114606240"/>
        <c:scaling>
          <c:orientation val="minMax"/>
        </c:scaling>
        <c:delete val="1"/>
        <c:axPos val="l"/>
        <c:numFmt formatCode="_-* #\ ##0.00\ [$USD]_-;\-* #\ ##0.00\ [$USD]_-;_-* &quot;-&quot;??\ [$USD]_-;_-@_-" sourceLinked="1"/>
        <c:majorTickMark val="none"/>
        <c:minorTickMark val="none"/>
        <c:tickLblPos val="nextTo"/>
        <c:crossAx val="21146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59422572178482"/>
          <c:y val="0.38645985969545227"/>
          <c:w val="0.1919746422826179"/>
          <c:h val="0.1750530924298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468630</xdr:colOff>
      <xdr:row>1</xdr:row>
      <xdr:rowOff>91440</xdr:rowOff>
    </xdr:from>
    <xdr:to>
      <xdr:col>16</xdr:col>
      <xdr:colOff>234630</xdr:colOff>
      <xdr:row>6</xdr:row>
      <xdr:rowOff>113040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9254383-1064-4F44-B573-8339AD84029A}"/>
            </a:ext>
          </a:extLst>
        </xdr:cNvPr>
        <xdr:cNvSpPr/>
      </xdr:nvSpPr>
      <xdr:spPr>
        <a:xfrm>
          <a:off x="6564630" y="274320"/>
          <a:ext cx="3423600" cy="93600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PT" sz="1600" b="1"/>
            <a:t>Total</a:t>
          </a:r>
          <a:r>
            <a:rPr lang="pt-PT" sz="1600" b="1" baseline="0"/>
            <a:t> de Receita</a:t>
          </a:r>
        </a:p>
      </xdr:txBody>
    </xdr:sp>
    <xdr:clientData/>
  </xdr:twoCellAnchor>
  <xdr:twoCellAnchor>
    <xdr:from>
      <xdr:col>16</xdr:col>
      <xdr:colOff>487680</xdr:colOff>
      <xdr:row>1</xdr:row>
      <xdr:rowOff>83820</xdr:rowOff>
    </xdr:from>
    <xdr:to>
      <xdr:col>22</xdr:col>
      <xdr:colOff>253680</xdr:colOff>
      <xdr:row>6</xdr:row>
      <xdr:rowOff>105420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F3A070D2-6D71-4833-A23F-005E36314491}"/>
            </a:ext>
          </a:extLst>
        </xdr:cNvPr>
        <xdr:cNvSpPr/>
      </xdr:nvSpPr>
      <xdr:spPr>
        <a:xfrm>
          <a:off x="10241280" y="266700"/>
          <a:ext cx="3423600" cy="936000"/>
        </a:xfrm>
        <a:prstGeom prst="round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pt-PT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Desconto</a:t>
          </a:r>
          <a:endParaRPr lang="pt-PT" sz="1600">
            <a:effectLst/>
          </a:endParaRPr>
        </a:p>
        <a:p>
          <a:pPr algn="l"/>
          <a:endParaRPr lang="pt-PT" sz="1100"/>
        </a:p>
      </xdr:txBody>
    </xdr:sp>
    <xdr:clientData/>
  </xdr:twoCellAnchor>
  <xdr:twoCellAnchor>
    <xdr:from>
      <xdr:col>0</xdr:col>
      <xdr:colOff>441960</xdr:colOff>
      <xdr:row>1</xdr:row>
      <xdr:rowOff>91440</xdr:rowOff>
    </xdr:from>
    <xdr:to>
      <xdr:col>10</xdr:col>
      <xdr:colOff>144780</xdr:colOff>
      <xdr:row>6</xdr:row>
      <xdr:rowOff>113040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8FB5197-1C6A-42B0-BE63-23CE1D7FEBE4}"/>
            </a:ext>
          </a:extLst>
        </xdr:cNvPr>
        <xdr:cNvSpPr/>
      </xdr:nvSpPr>
      <xdr:spPr>
        <a:xfrm>
          <a:off x="441960" y="274320"/>
          <a:ext cx="5798820" cy="936000"/>
        </a:xfrm>
        <a:prstGeom prst="roundRect">
          <a:avLst/>
        </a:prstGeom>
        <a:solidFill>
          <a:schemeClr val="accent1">
            <a:lumMod val="75000"/>
          </a:schemeClr>
        </a:solidFill>
        <a:ln w="2857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445770</xdr:colOff>
      <xdr:row>7</xdr:row>
      <xdr:rowOff>83820</xdr:rowOff>
    </xdr:from>
    <xdr:to>
      <xdr:col>6</xdr:col>
      <xdr:colOff>533400</xdr:colOff>
      <xdr:row>28</xdr:row>
      <xdr:rowOff>7620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EE2B9C0-8301-4CE0-9929-0DA917ED0C2E}"/>
            </a:ext>
          </a:extLst>
        </xdr:cNvPr>
        <xdr:cNvSpPr/>
      </xdr:nvSpPr>
      <xdr:spPr>
        <a:xfrm>
          <a:off x="445770" y="1363980"/>
          <a:ext cx="3745230" cy="3764280"/>
        </a:xfrm>
        <a:prstGeom prst="roundRect">
          <a:avLst>
            <a:gd name="adj" fmla="val 2473"/>
          </a:avLst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16</xdr:col>
      <xdr:colOff>144780</xdr:colOff>
      <xdr:row>7</xdr:row>
      <xdr:rowOff>99060</xdr:rowOff>
    </xdr:from>
    <xdr:to>
      <xdr:col>22</xdr:col>
      <xdr:colOff>327660</xdr:colOff>
      <xdr:row>28</xdr:row>
      <xdr:rowOff>22860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249A0D6-F398-4C7D-B00A-0D2090DCD631}"/>
            </a:ext>
          </a:extLst>
        </xdr:cNvPr>
        <xdr:cNvSpPr/>
      </xdr:nvSpPr>
      <xdr:spPr>
        <a:xfrm>
          <a:off x="9898380" y="1379220"/>
          <a:ext cx="3840480" cy="3764280"/>
        </a:xfrm>
        <a:prstGeom prst="roundRect">
          <a:avLst>
            <a:gd name="adj" fmla="val 5854"/>
          </a:avLst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135255</xdr:colOff>
      <xdr:row>7</xdr:row>
      <xdr:rowOff>91440</xdr:rowOff>
    </xdr:from>
    <xdr:to>
      <xdr:col>15</xdr:col>
      <xdr:colOff>457200</xdr:colOff>
      <xdr:row>17</xdr:row>
      <xdr:rowOff>52710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4025DE9-0A1B-4DB7-B752-A29A1A6278A1}"/>
            </a:ext>
          </a:extLst>
        </xdr:cNvPr>
        <xdr:cNvSpPr/>
      </xdr:nvSpPr>
      <xdr:spPr>
        <a:xfrm>
          <a:off x="4402455" y="1371600"/>
          <a:ext cx="5198745" cy="1790070"/>
        </a:xfrm>
        <a:prstGeom prst="roundRect">
          <a:avLst>
            <a:gd name="adj" fmla="val 3805"/>
          </a:avLst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142875</xdr:colOff>
      <xdr:row>18</xdr:row>
      <xdr:rowOff>0</xdr:rowOff>
    </xdr:from>
    <xdr:to>
      <xdr:col>15</xdr:col>
      <xdr:colOff>457200</xdr:colOff>
      <xdr:row>27</xdr:row>
      <xdr:rowOff>175260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5CC6439-CABF-4413-A368-2070C48FAC93}"/>
            </a:ext>
          </a:extLst>
        </xdr:cNvPr>
        <xdr:cNvSpPr/>
      </xdr:nvSpPr>
      <xdr:spPr>
        <a:xfrm>
          <a:off x="4410075" y="3291840"/>
          <a:ext cx="5191125" cy="1821180"/>
        </a:xfrm>
        <a:prstGeom prst="roundRect">
          <a:avLst>
            <a:gd name="adj" fmla="val 4643"/>
          </a:avLst>
        </a:prstGeom>
        <a:ln>
          <a:solidFill>
            <a:schemeClr val="bg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0</xdr:col>
      <xdr:colOff>464820</xdr:colOff>
      <xdr:row>1</xdr:row>
      <xdr:rowOff>167641</xdr:rowOff>
    </xdr:from>
    <xdr:to>
      <xdr:col>10</xdr:col>
      <xdr:colOff>83820</xdr:colOff>
      <xdr:row>6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Meses">
              <a:extLst>
                <a:ext uri="{FF2B5EF4-FFF2-40B4-BE49-F238E27FC236}">
                  <a16:creationId xmlns:a16="http://schemas.microsoft.com/office/drawing/2014/main" id="{667769D8-EF02-490F-8AB1-1AB0BA4C31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" y="350521"/>
              <a:ext cx="5715000" cy="777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461010</xdr:colOff>
      <xdr:row>7</xdr:row>
      <xdr:rowOff>114300</xdr:rowOff>
    </xdr:from>
    <xdr:to>
      <xdr:col>6</xdr:col>
      <xdr:colOff>518160</xdr:colOff>
      <xdr:row>27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18D5365-8A59-4D8F-9232-7FC94995A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135254</xdr:colOff>
      <xdr:row>7</xdr:row>
      <xdr:rowOff>91440</xdr:rowOff>
    </xdr:from>
    <xdr:to>
      <xdr:col>15</xdr:col>
      <xdr:colOff>434339</xdr:colOff>
      <xdr:row>17</xdr:row>
      <xdr:rowOff>53340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F41051D-98F1-4E5E-A32C-2CB87953F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135254</xdr:colOff>
      <xdr:row>18</xdr:row>
      <xdr:rowOff>0</xdr:rowOff>
    </xdr:from>
    <xdr:to>
      <xdr:col>15</xdr:col>
      <xdr:colOff>441960</xdr:colOff>
      <xdr:row>27</xdr:row>
      <xdr:rowOff>160020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E402760-C82A-4B79-AD0B-AEA51F282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175260</xdr:colOff>
      <xdr:row>7</xdr:row>
      <xdr:rowOff>152400</xdr:rowOff>
    </xdr:from>
    <xdr:to>
      <xdr:col>22</xdr:col>
      <xdr:colOff>297180</xdr:colOff>
      <xdr:row>27</xdr:row>
      <xdr:rowOff>167640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4559F53-39FF-4EDF-BD67-80670C988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518160</xdr:colOff>
      <xdr:row>3</xdr:row>
      <xdr:rowOff>60960</xdr:rowOff>
    </xdr:from>
    <xdr:to>
      <xdr:col>15</xdr:col>
      <xdr:colOff>213360</xdr:colOff>
      <xdr:row>5</xdr:row>
      <xdr:rowOff>83820</xdr:rowOff>
    </xdr:to>
    <xdr:sp macro="" textlink="Categoria_por_Meio!C16">
      <xdr:nvSpPr>
        <xdr:cNvPr id="24" name="CaixaDeTexto 23">
          <a:extLst>
            <a:ext uri="{FF2B5EF4-FFF2-40B4-BE49-F238E27FC236}">
              <a16:creationId xmlns:a16="http://schemas.microsoft.com/office/drawing/2014/main" id="{E61E4FC8-D8C0-4128-8125-0FA27DC3A1BA}"/>
            </a:ext>
          </a:extLst>
        </xdr:cNvPr>
        <xdr:cNvSpPr txBox="1"/>
      </xdr:nvSpPr>
      <xdr:spPr>
        <a:xfrm>
          <a:off x="7223760" y="609600"/>
          <a:ext cx="213360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14F9160-0E0F-4929-9A69-D34E748DF2FC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t> 51 170,86 USD </a:t>
          </a:fld>
          <a:endParaRPr lang="en-US" sz="2400" b="1"/>
        </a:p>
      </xdr:txBody>
    </xdr:sp>
    <xdr:clientData/>
  </xdr:twoCellAnchor>
  <xdr:twoCellAnchor>
    <xdr:from>
      <xdr:col>18</xdr:col>
      <xdr:colOff>106680</xdr:colOff>
      <xdr:row>3</xdr:row>
      <xdr:rowOff>99060</xdr:rowOff>
    </xdr:from>
    <xdr:to>
      <xdr:col>21</xdr:col>
      <xdr:colOff>68580</xdr:colOff>
      <xdr:row>5</xdr:row>
      <xdr:rowOff>91440</xdr:rowOff>
    </xdr:to>
    <xdr:sp macro="" textlink="Categoria_por_Meio!E16">
      <xdr:nvSpPr>
        <xdr:cNvPr id="25" name="CaixaDeTexto 24">
          <a:extLst>
            <a:ext uri="{FF2B5EF4-FFF2-40B4-BE49-F238E27FC236}">
              <a16:creationId xmlns:a16="http://schemas.microsoft.com/office/drawing/2014/main" id="{4026C1D5-6458-46BC-9BB6-49C696688606}"/>
            </a:ext>
          </a:extLst>
        </xdr:cNvPr>
        <xdr:cNvSpPr txBox="1"/>
      </xdr:nvSpPr>
      <xdr:spPr>
        <a:xfrm>
          <a:off x="11079480" y="647700"/>
          <a:ext cx="179070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6CB4237-3DB7-44F4-A8D0-62054C0D105E}" type="TxLink">
            <a: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0</a:t>
          </a:fld>
          <a:endParaRPr lang="pt-PT" sz="24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 Casseca" refreshedDate="46074.952179513886" createdVersion="7" refreshedVersion="7" minRefreshableVersion="3" recordCount="240" xr:uid="{0B250B6A-AFED-4B98-8C04-7A840E7628D7}">
  <cacheSource type="worksheet">
    <worksheetSource name="Online_Sales_Data"/>
  </cacheSource>
  <cacheFields count="12">
    <cacheField name="Transaction ID" numFmtId="0">
      <sharedItems containsSemiMixedTypes="0" containsString="0" containsNumber="1" containsInteger="1" minValue="10001" maxValue="10240"/>
    </cacheField>
    <cacheField name="Date" numFmtId="22">
      <sharedItems containsSemiMixedTypes="0" containsNonDate="0" containsDate="1" containsString="0" minDate="2024-01-01T00:00:00" maxDate="2024-08-28T00:00:00" count="2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</sharedItems>
      <fieldGroup par="11" base="1">
        <rangePr groupBy="days" startDate="2024-01-01T00:00:00" endDate="2024-08-28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8/08/2024"/>
        </groupItems>
      </fieldGroup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Expected Revenu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Discount" numFmtId="0">
      <sharedItems containsSemiMixedTypes="0" containsString="0" containsNumber="1" containsInteger="1" minValue="0" maxValue="0"/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 count="3">
        <s v="Credit Card"/>
        <s v="PayPal"/>
        <s v="Debit Card"/>
      </sharedItems>
    </cacheField>
    <cacheField name="Meses" numFmtId="0" databaseField="0">
      <fieldGroup base="1">
        <rangePr groupBy="months" startDate="2024-01-01T00:00:00" endDate="2024-08-28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8/2024"/>
        </groupItems>
      </fieldGroup>
    </cacheField>
  </cacheFields>
  <extLst>
    <ext xmlns:x14="http://schemas.microsoft.com/office/spreadsheetml/2009/9/main" uri="{725AE2AE-9491-48be-B2B4-4EB974FC3084}">
      <x14:pivotCacheDefinition pivotCacheId="2018261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x v="0"/>
    <x v="0"/>
    <s v="iPhone 14 Pro"/>
    <n v="2"/>
    <n v="999.99"/>
    <n v="1999.98"/>
    <n v="1999.98"/>
    <n v="0"/>
    <x v="0"/>
    <x v="0"/>
  </r>
  <r>
    <n v="10002"/>
    <x v="1"/>
    <x v="1"/>
    <s v="Dyson V11 Vacuum"/>
    <n v="1"/>
    <n v="499.99"/>
    <n v="499.99"/>
    <n v="499.99"/>
    <n v="0"/>
    <x v="1"/>
    <x v="1"/>
  </r>
  <r>
    <n v="10003"/>
    <x v="2"/>
    <x v="2"/>
    <s v="Levi's 501 Jeans"/>
    <n v="3"/>
    <n v="69.989999999999995"/>
    <n v="209.96999999999997"/>
    <n v="209.97"/>
    <n v="0"/>
    <x v="2"/>
    <x v="2"/>
  </r>
  <r>
    <n v="10004"/>
    <x v="3"/>
    <x v="3"/>
    <s v="The Da Vinci Code"/>
    <n v="4"/>
    <n v="15.99"/>
    <n v="63.96"/>
    <n v="63.96"/>
    <n v="0"/>
    <x v="0"/>
    <x v="0"/>
  </r>
  <r>
    <n v="10005"/>
    <x v="4"/>
    <x v="4"/>
    <s v="Neutrogena Skincare Set"/>
    <n v="1"/>
    <n v="89.99"/>
    <n v="89.99"/>
    <n v="89.99"/>
    <n v="0"/>
    <x v="1"/>
    <x v="1"/>
  </r>
  <r>
    <n v="10006"/>
    <x v="5"/>
    <x v="5"/>
    <s v="Wilson Evolution Basketball"/>
    <n v="5"/>
    <n v="29.99"/>
    <n v="149.94999999999999"/>
    <n v="149.94999999999999"/>
    <n v="0"/>
    <x v="2"/>
    <x v="0"/>
  </r>
  <r>
    <n v="10007"/>
    <x v="6"/>
    <x v="0"/>
    <s v="MacBook Pro 16-inch"/>
    <n v="1"/>
    <n v="2499.9899999999998"/>
    <n v="2499.9899999999998"/>
    <n v="2499.9899999999998"/>
    <n v="0"/>
    <x v="0"/>
    <x v="0"/>
  </r>
  <r>
    <n v="10008"/>
    <x v="7"/>
    <x v="1"/>
    <s v="Blueair Classic 480i"/>
    <n v="2"/>
    <n v="599.99"/>
    <n v="1199.98"/>
    <n v="1199.98"/>
    <n v="0"/>
    <x v="1"/>
    <x v="1"/>
  </r>
  <r>
    <n v="10009"/>
    <x v="8"/>
    <x v="2"/>
    <s v="Nike Air Force 1"/>
    <n v="6"/>
    <n v="89.99"/>
    <n v="539.93999999999994"/>
    <n v="539.94000000000005"/>
    <n v="0"/>
    <x v="2"/>
    <x v="2"/>
  </r>
  <r>
    <n v="10010"/>
    <x v="9"/>
    <x v="3"/>
    <s v="Dune by Frank Herbert"/>
    <n v="2"/>
    <n v="25.99"/>
    <n v="51.98"/>
    <n v="51.98"/>
    <n v="0"/>
    <x v="0"/>
    <x v="0"/>
  </r>
  <r>
    <n v="10011"/>
    <x v="10"/>
    <x v="4"/>
    <s v="Chanel No. 5 Perfume"/>
    <n v="1"/>
    <n v="129.99"/>
    <n v="129.99"/>
    <n v="129.99"/>
    <n v="0"/>
    <x v="1"/>
    <x v="1"/>
  </r>
  <r>
    <n v="10012"/>
    <x v="11"/>
    <x v="5"/>
    <s v="Babolat Pure Drive Tennis Racket"/>
    <n v="3"/>
    <n v="199.99"/>
    <n v="599.97"/>
    <n v="599.97"/>
    <n v="0"/>
    <x v="2"/>
    <x v="0"/>
  </r>
  <r>
    <n v="10013"/>
    <x v="12"/>
    <x v="0"/>
    <s v="Samsung Galaxy Tab S8"/>
    <n v="2"/>
    <n v="749.99"/>
    <n v="1499.98"/>
    <n v="1499.98"/>
    <n v="0"/>
    <x v="0"/>
    <x v="0"/>
  </r>
  <r>
    <n v="10014"/>
    <x v="13"/>
    <x v="1"/>
    <s v="Keurig K-Elite Coffee Maker"/>
    <n v="1"/>
    <n v="189.99"/>
    <n v="189.99"/>
    <n v="189.99"/>
    <n v="0"/>
    <x v="1"/>
    <x v="1"/>
  </r>
  <r>
    <n v="10015"/>
    <x v="14"/>
    <x v="2"/>
    <s v="North Face Down Jacket"/>
    <n v="2"/>
    <n v="249.99"/>
    <n v="499.98"/>
    <n v="499.98"/>
    <n v="0"/>
    <x v="2"/>
    <x v="2"/>
  </r>
  <r>
    <n v="10016"/>
    <x v="15"/>
    <x v="3"/>
    <s v="Salt, Fat, Acid, Heat by Samin Nosrat"/>
    <n v="3"/>
    <n v="35.99"/>
    <n v="107.97"/>
    <n v="107.97"/>
    <n v="0"/>
    <x v="0"/>
    <x v="0"/>
  </r>
  <r>
    <n v="10017"/>
    <x v="16"/>
    <x v="4"/>
    <s v="Dyson Supersonic Hair Dryer"/>
    <n v="1"/>
    <n v="399.99"/>
    <n v="399.99"/>
    <n v="399.99"/>
    <n v="0"/>
    <x v="1"/>
    <x v="1"/>
  </r>
  <r>
    <n v="10018"/>
    <x v="17"/>
    <x v="5"/>
    <s v="Manduka PRO Yoga Mat"/>
    <n v="4"/>
    <n v="119.99"/>
    <n v="479.96"/>
    <n v="479.96"/>
    <n v="0"/>
    <x v="2"/>
    <x v="0"/>
  </r>
  <r>
    <n v="10019"/>
    <x v="18"/>
    <x v="0"/>
    <s v="Garmin Forerunner 945"/>
    <n v="2"/>
    <n v="499.99"/>
    <n v="999.98"/>
    <n v="999.98"/>
    <n v="0"/>
    <x v="0"/>
    <x v="0"/>
  </r>
  <r>
    <n v="10020"/>
    <x v="19"/>
    <x v="1"/>
    <s v="Ninja Professional Blender"/>
    <n v="1"/>
    <n v="99.99"/>
    <n v="99.99"/>
    <n v="99.99"/>
    <n v="0"/>
    <x v="1"/>
    <x v="1"/>
  </r>
  <r>
    <n v="10021"/>
    <x v="20"/>
    <x v="2"/>
    <s v="Zara Summer Dress"/>
    <n v="3"/>
    <n v="59.99"/>
    <n v="179.97"/>
    <n v="179.97"/>
    <n v="0"/>
    <x v="2"/>
    <x v="2"/>
  </r>
  <r>
    <n v="10022"/>
    <x v="21"/>
    <x v="3"/>
    <s v="Gone Girl by Gillian Flynn"/>
    <n v="2"/>
    <n v="22.99"/>
    <n v="45.98"/>
    <n v="45.98"/>
    <n v="0"/>
    <x v="0"/>
    <x v="0"/>
  </r>
  <r>
    <n v="10023"/>
    <x v="22"/>
    <x v="4"/>
    <s v="Olay Regenerist Face Cream"/>
    <n v="1"/>
    <n v="49.99"/>
    <n v="49.99"/>
    <n v="49.99"/>
    <n v="0"/>
    <x v="1"/>
    <x v="1"/>
  </r>
  <r>
    <n v="10024"/>
    <x v="23"/>
    <x v="5"/>
    <s v="Adidas FIFA World Cup Football"/>
    <n v="3"/>
    <n v="29.99"/>
    <n v="89.97"/>
    <n v="89.97"/>
    <n v="0"/>
    <x v="2"/>
    <x v="0"/>
  </r>
  <r>
    <n v="10025"/>
    <x v="24"/>
    <x v="0"/>
    <s v="Bose QuietComfort 35 Headphones"/>
    <n v="1"/>
    <n v="299.99"/>
    <n v="299.99"/>
    <n v="299.99"/>
    <n v="0"/>
    <x v="0"/>
    <x v="0"/>
  </r>
  <r>
    <n v="10026"/>
    <x v="25"/>
    <x v="1"/>
    <s v="Panasonic NN-SN966S Microwave"/>
    <n v="1"/>
    <n v="179.99"/>
    <n v="179.99"/>
    <n v="179.99"/>
    <n v="0"/>
    <x v="1"/>
    <x v="1"/>
  </r>
  <r>
    <n v="10027"/>
    <x v="26"/>
    <x v="2"/>
    <s v="Adidas Ultraboost Shoes"/>
    <n v="2"/>
    <n v="179.99"/>
    <n v="359.98"/>
    <n v="359.98"/>
    <n v="0"/>
    <x v="2"/>
    <x v="2"/>
  </r>
  <r>
    <n v="10028"/>
    <x v="27"/>
    <x v="3"/>
    <s v="Pride and Prejudice by Jane Austen"/>
    <n v="3"/>
    <n v="12.99"/>
    <n v="38.97"/>
    <n v="38.97"/>
    <n v="0"/>
    <x v="0"/>
    <x v="0"/>
  </r>
  <r>
    <n v="10029"/>
    <x v="28"/>
    <x v="4"/>
    <s v="MAC Ruby Woo Lipstick"/>
    <n v="1"/>
    <n v="29.99"/>
    <n v="29.99"/>
    <n v="29.99"/>
    <n v="0"/>
    <x v="1"/>
    <x v="1"/>
  </r>
  <r>
    <n v="10030"/>
    <x v="29"/>
    <x v="5"/>
    <s v="Nike Air Zoom Pegasus 37"/>
    <n v="2"/>
    <n v="129.99"/>
    <n v="259.98"/>
    <n v="259.98"/>
    <n v="0"/>
    <x v="2"/>
    <x v="0"/>
  </r>
  <r>
    <n v="10031"/>
    <x v="30"/>
    <x v="0"/>
    <s v="Sony WH-1000XM4 Headphones"/>
    <n v="2"/>
    <n v="349.99"/>
    <n v="699.98"/>
    <n v="699.98"/>
    <n v="0"/>
    <x v="0"/>
    <x v="0"/>
  </r>
  <r>
    <n v="10032"/>
    <x v="31"/>
    <x v="1"/>
    <s v="Instant Pot Duo"/>
    <n v="3"/>
    <n v="89.99"/>
    <n v="269.96999999999997"/>
    <n v="269.97000000000003"/>
    <n v="0"/>
    <x v="1"/>
    <x v="1"/>
  </r>
  <r>
    <n v="10033"/>
    <x v="32"/>
    <x v="2"/>
    <s v="Under Armour HeatGear T-Shirt"/>
    <n v="5"/>
    <n v="29.99"/>
    <n v="149.94999999999999"/>
    <n v="149.94999999999999"/>
    <n v="0"/>
    <x v="2"/>
    <x v="2"/>
  </r>
  <r>
    <n v="10034"/>
    <x v="33"/>
    <x v="3"/>
    <s v="1984 by George Orwell"/>
    <n v="4"/>
    <n v="19.989999999999998"/>
    <n v="79.959999999999994"/>
    <n v="79.959999999999994"/>
    <n v="0"/>
    <x v="0"/>
    <x v="0"/>
  </r>
  <r>
    <n v="10035"/>
    <x v="34"/>
    <x v="4"/>
    <s v="L'Oreal Revitalift Serum"/>
    <n v="2"/>
    <n v="39.99"/>
    <n v="79.98"/>
    <n v="79.98"/>
    <n v="0"/>
    <x v="1"/>
    <x v="1"/>
  </r>
  <r>
    <n v="10036"/>
    <x v="35"/>
    <x v="5"/>
    <s v="Peloton Bike"/>
    <n v="1"/>
    <n v="1895"/>
    <n v="1895"/>
    <n v="1895"/>
    <n v="0"/>
    <x v="2"/>
    <x v="0"/>
  </r>
  <r>
    <n v="10037"/>
    <x v="36"/>
    <x v="0"/>
    <s v="Apple Watch Series 8"/>
    <n v="3"/>
    <n v="399.99"/>
    <n v="1199.97"/>
    <n v="1199.97"/>
    <n v="0"/>
    <x v="0"/>
    <x v="0"/>
  </r>
  <r>
    <n v="10038"/>
    <x v="37"/>
    <x v="1"/>
    <s v="Roomba i7+"/>
    <n v="2"/>
    <n v="799.99"/>
    <n v="1599.98"/>
    <n v="1599.98"/>
    <n v="0"/>
    <x v="1"/>
    <x v="1"/>
  </r>
  <r>
    <n v="10039"/>
    <x v="38"/>
    <x v="2"/>
    <s v="Columbia Fleece Jacket"/>
    <n v="4"/>
    <n v="59.99"/>
    <n v="239.96"/>
    <n v="239.96"/>
    <n v="0"/>
    <x v="2"/>
    <x v="2"/>
  </r>
  <r>
    <n v="10040"/>
    <x v="39"/>
    <x v="3"/>
    <s v="Harry Potter and the Sorcerer's Stone"/>
    <n v="3"/>
    <n v="24.99"/>
    <n v="74.97"/>
    <n v="74.97"/>
    <n v="0"/>
    <x v="0"/>
    <x v="0"/>
  </r>
  <r>
    <n v="10041"/>
    <x v="40"/>
    <x v="4"/>
    <s v="Estee Lauder Advanced Night Repair"/>
    <n v="1"/>
    <n v="105"/>
    <n v="105"/>
    <n v="105"/>
    <n v="0"/>
    <x v="1"/>
    <x v="1"/>
  </r>
  <r>
    <n v="10042"/>
    <x v="41"/>
    <x v="5"/>
    <s v="Fitbit Charge 5"/>
    <n v="2"/>
    <n v="129.99"/>
    <n v="259.98"/>
    <n v="259.98"/>
    <n v="0"/>
    <x v="2"/>
    <x v="0"/>
  </r>
  <r>
    <n v="10043"/>
    <x v="42"/>
    <x v="0"/>
    <s v="GoPro HERO10 Black"/>
    <n v="3"/>
    <n v="399.99"/>
    <n v="1199.97"/>
    <n v="1199.97"/>
    <n v="0"/>
    <x v="0"/>
    <x v="0"/>
  </r>
  <r>
    <n v="10044"/>
    <x v="43"/>
    <x v="1"/>
    <s v="Nespresso VertuoPlus"/>
    <n v="1"/>
    <n v="199.99"/>
    <n v="199.99"/>
    <n v="199.99"/>
    <n v="0"/>
    <x v="1"/>
    <x v="1"/>
  </r>
  <r>
    <n v="10045"/>
    <x v="44"/>
    <x v="2"/>
    <s v="Patagonia Better Sweater"/>
    <n v="2"/>
    <n v="139.99"/>
    <n v="279.98"/>
    <n v="279.98"/>
    <n v="0"/>
    <x v="2"/>
    <x v="2"/>
  </r>
  <r>
    <n v="10046"/>
    <x v="45"/>
    <x v="3"/>
    <s v="Becoming by Michelle Obama"/>
    <n v="4"/>
    <n v="32.5"/>
    <n v="130"/>
    <n v="130"/>
    <n v="0"/>
    <x v="0"/>
    <x v="0"/>
  </r>
  <r>
    <n v="10047"/>
    <x v="46"/>
    <x v="4"/>
    <s v="Clinique Moisture Surge"/>
    <n v="1"/>
    <n v="52"/>
    <n v="52"/>
    <n v="52"/>
    <n v="0"/>
    <x v="1"/>
    <x v="1"/>
  </r>
  <r>
    <n v="10048"/>
    <x v="47"/>
    <x v="5"/>
    <s v="Yeti Rambler Tumbler"/>
    <n v="6"/>
    <n v="39.99"/>
    <n v="239.94"/>
    <n v="239.94"/>
    <n v="0"/>
    <x v="2"/>
    <x v="0"/>
  </r>
  <r>
    <n v="10049"/>
    <x v="48"/>
    <x v="0"/>
    <s v="Kindle Paperwhite"/>
    <n v="2"/>
    <n v="129.99"/>
    <n v="259.98"/>
    <n v="259.98"/>
    <n v="0"/>
    <x v="0"/>
    <x v="0"/>
  </r>
  <r>
    <n v="10050"/>
    <x v="49"/>
    <x v="1"/>
    <s v="Breville Smart Oven"/>
    <n v="1"/>
    <n v="299.99"/>
    <n v="299.99"/>
    <n v="299.99"/>
    <n v="0"/>
    <x v="1"/>
    <x v="1"/>
  </r>
  <r>
    <n v="10051"/>
    <x v="50"/>
    <x v="2"/>
    <s v="Ray-Ban Aviator Sunglasses"/>
    <n v="3"/>
    <n v="154.99"/>
    <n v="464.97"/>
    <n v="464.97"/>
    <n v="0"/>
    <x v="2"/>
    <x v="2"/>
  </r>
  <r>
    <n v="10052"/>
    <x v="51"/>
    <x v="3"/>
    <s v="The Silent Patient by Alex Michaelides"/>
    <n v="2"/>
    <n v="26.99"/>
    <n v="53.98"/>
    <n v="53.98"/>
    <n v="0"/>
    <x v="0"/>
    <x v="0"/>
  </r>
  <r>
    <n v="10053"/>
    <x v="52"/>
    <x v="4"/>
    <s v="Shiseido Ultimate Sun Protector"/>
    <n v="1"/>
    <n v="49"/>
    <n v="49"/>
    <n v="49"/>
    <n v="0"/>
    <x v="1"/>
    <x v="1"/>
  </r>
  <r>
    <n v="10054"/>
    <x v="53"/>
    <x v="5"/>
    <s v="Titleist Pro V1 Golf Balls"/>
    <n v="5"/>
    <n v="49.99"/>
    <n v="249.95000000000002"/>
    <n v="249.95"/>
    <n v="0"/>
    <x v="2"/>
    <x v="0"/>
  </r>
  <r>
    <n v="10055"/>
    <x v="54"/>
    <x v="0"/>
    <s v="Anker PowerCore Portable Charger"/>
    <n v="4"/>
    <n v="59.99"/>
    <n v="239.96"/>
    <n v="239.96"/>
    <n v="0"/>
    <x v="0"/>
    <x v="0"/>
  </r>
  <r>
    <n v="10056"/>
    <x v="55"/>
    <x v="1"/>
    <s v="KitchenAid Artisan Stand Mixer"/>
    <n v="1"/>
    <n v="499.99"/>
    <n v="499.99"/>
    <n v="499.99"/>
    <n v="0"/>
    <x v="1"/>
    <x v="1"/>
  </r>
  <r>
    <n v="10057"/>
    <x v="56"/>
    <x v="2"/>
    <s v="Calvin Klein Boxer Briefs"/>
    <n v="5"/>
    <n v="29.99"/>
    <n v="149.94999999999999"/>
    <n v="149.94999999999999"/>
    <n v="0"/>
    <x v="2"/>
    <x v="2"/>
  </r>
  <r>
    <n v="10058"/>
    <x v="57"/>
    <x v="3"/>
    <s v="Educated by Tara Westover"/>
    <n v="3"/>
    <n v="28"/>
    <n v="84"/>
    <n v="84"/>
    <n v="0"/>
    <x v="0"/>
    <x v="0"/>
  </r>
  <r>
    <n v="10059"/>
    <x v="58"/>
    <x v="4"/>
    <s v="Anastasia Beverly Hills Brow Wiz"/>
    <n v="2"/>
    <n v="23"/>
    <n v="46"/>
    <n v="46"/>
    <n v="0"/>
    <x v="1"/>
    <x v="1"/>
  </r>
  <r>
    <n v="10060"/>
    <x v="59"/>
    <x v="5"/>
    <s v="Hyperice Hypervolt Massager"/>
    <n v="1"/>
    <n v="349"/>
    <n v="349"/>
    <n v="349"/>
    <n v="0"/>
    <x v="2"/>
    <x v="0"/>
  </r>
  <r>
    <n v="10061"/>
    <x v="60"/>
    <x v="0"/>
    <s v="Nintendo Switch"/>
    <n v="3"/>
    <n v="299.99"/>
    <n v="899.97"/>
    <n v="899.97"/>
    <n v="0"/>
    <x v="0"/>
    <x v="0"/>
  </r>
  <r>
    <n v="10062"/>
    <x v="61"/>
    <x v="1"/>
    <s v="Philips Airfryer XXL"/>
    <n v="2"/>
    <n v="199.99"/>
    <n v="399.98"/>
    <n v="399.98"/>
    <n v="0"/>
    <x v="1"/>
    <x v="1"/>
  </r>
  <r>
    <n v="10063"/>
    <x v="62"/>
    <x v="2"/>
    <s v="Hanes ComfortSoft T-Shirt"/>
    <n v="10"/>
    <n v="9.99"/>
    <n v="99.9"/>
    <n v="99.9"/>
    <n v="0"/>
    <x v="2"/>
    <x v="2"/>
  </r>
  <r>
    <n v="10064"/>
    <x v="63"/>
    <x v="3"/>
    <s v="Where the Crawdads Sing by Delia Owens"/>
    <n v="4"/>
    <n v="18.989999999999998"/>
    <n v="75.959999999999994"/>
    <n v="75.959999999999994"/>
    <n v="0"/>
    <x v="0"/>
    <x v="0"/>
  </r>
  <r>
    <n v="10065"/>
    <x v="64"/>
    <x v="4"/>
    <s v="Lancome La Vie Est Belle"/>
    <n v="1"/>
    <n v="102"/>
    <n v="102"/>
    <n v="102"/>
    <n v="0"/>
    <x v="1"/>
    <x v="1"/>
  </r>
  <r>
    <n v="10066"/>
    <x v="65"/>
    <x v="5"/>
    <s v="Garmin Edge 530"/>
    <n v="2"/>
    <n v="299.99"/>
    <n v="599.98"/>
    <n v="599.98"/>
    <n v="0"/>
    <x v="2"/>
    <x v="0"/>
  </r>
  <r>
    <n v="10067"/>
    <x v="66"/>
    <x v="0"/>
    <s v="Samsung QLED 4K TV"/>
    <n v="1"/>
    <n v="1199.99"/>
    <n v="1199.99"/>
    <n v="1199.99"/>
    <n v="0"/>
    <x v="0"/>
    <x v="0"/>
  </r>
  <r>
    <n v="10068"/>
    <x v="67"/>
    <x v="1"/>
    <s v="Eufy RoboVac 11S"/>
    <n v="3"/>
    <n v="219.99"/>
    <n v="659.97"/>
    <n v="659.97"/>
    <n v="0"/>
    <x v="1"/>
    <x v="1"/>
  </r>
  <r>
    <n v="10069"/>
    <x v="68"/>
    <x v="2"/>
    <s v="Puma Suede Classic Sneakers"/>
    <n v="4"/>
    <n v="59.99"/>
    <n v="239.96"/>
    <n v="239.96"/>
    <n v="0"/>
    <x v="2"/>
    <x v="2"/>
  </r>
  <r>
    <n v="10070"/>
    <x v="69"/>
    <x v="3"/>
    <s v="The Great Gatsby by F. Scott Fitzgerald"/>
    <n v="2"/>
    <n v="10.99"/>
    <n v="21.98"/>
    <n v="21.98"/>
    <n v="0"/>
    <x v="0"/>
    <x v="0"/>
  </r>
  <r>
    <n v="10071"/>
    <x v="70"/>
    <x v="4"/>
    <s v="Drunk Elephant C-Firma Day Serum"/>
    <n v="1"/>
    <n v="78"/>
    <n v="78"/>
    <n v="78"/>
    <n v="0"/>
    <x v="1"/>
    <x v="1"/>
  </r>
  <r>
    <n v="10072"/>
    <x v="71"/>
    <x v="5"/>
    <s v="Nike Metcon 6"/>
    <n v="3"/>
    <n v="129.99"/>
    <n v="389.97"/>
    <n v="389.97"/>
    <n v="0"/>
    <x v="2"/>
    <x v="0"/>
  </r>
  <r>
    <n v="10073"/>
    <x v="72"/>
    <x v="0"/>
    <s v="HP Spectre x360 Laptop"/>
    <n v="1"/>
    <n v="1599.99"/>
    <n v="1599.99"/>
    <n v="1599.99"/>
    <n v="0"/>
    <x v="0"/>
    <x v="0"/>
  </r>
  <r>
    <n v="10074"/>
    <x v="73"/>
    <x v="1"/>
    <s v="De'Longhi Magnifica Espresso Machine"/>
    <n v="1"/>
    <n v="899.99"/>
    <n v="899.99"/>
    <n v="899.99"/>
    <n v="0"/>
    <x v="1"/>
    <x v="1"/>
  </r>
  <r>
    <n v="10075"/>
    <x v="74"/>
    <x v="2"/>
    <s v="Tommy Hilfiger Polo Shirt"/>
    <n v="5"/>
    <n v="49.99"/>
    <n v="249.95000000000002"/>
    <n v="249.95"/>
    <n v="0"/>
    <x v="2"/>
    <x v="2"/>
  </r>
  <r>
    <n v="10076"/>
    <x v="75"/>
    <x v="3"/>
    <s v="To Kill a Mockingbird by Harper Lee"/>
    <n v="4"/>
    <n v="14.99"/>
    <n v="59.96"/>
    <n v="59.96"/>
    <n v="0"/>
    <x v="0"/>
    <x v="0"/>
  </r>
  <r>
    <n v="10077"/>
    <x v="76"/>
    <x v="4"/>
    <s v="Glossier Boy Brow"/>
    <n v="2"/>
    <n v="16"/>
    <n v="32"/>
    <n v="32"/>
    <n v="0"/>
    <x v="1"/>
    <x v="1"/>
  </r>
  <r>
    <n v="10078"/>
    <x v="77"/>
    <x v="5"/>
    <s v="Rogue Fitness Kettlebell"/>
    <n v="3"/>
    <n v="69.989999999999995"/>
    <n v="209.96999999999997"/>
    <n v="209.97"/>
    <n v="0"/>
    <x v="2"/>
    <x v="0"/>
  </r>
  <r>
    <n v="10079"/>
    <x v="78"/>
    <x v="0"/>
    <s v="Apple AirPods Pro"/>
    <n v="2"/>
    <n v="249.99"/>
    <n v="499.98"/>
    <n v="499.98"/>
    <n v="0"/>
    <x v="0"/>
    <x v="0"/>
  </r>
  <r>
    <n v="10080"/>
    <x v="79"/>
    <x v="1"/>
    <s v="Dyson Pure Cool Link"/>
    <n v="1"/>
    <n v="499.99"/>
    <n v="499.99"/>
    <n v="499.99"/>
    <n v="0"/>
    <x v="1"/>
    <x v="1"/>
  </r>
  <r>
    <n v="10081"/>
    <x v="80"/>
    <x v="2"/>
    <s v="Levi's Trucker Jacket"/>
    <n v="2"/>
    <n v="89.99"/>
    <n v="179.98"/>
    <n v="179.98"/>
    <n v="0"/>
    <x v="2"/>
    <x v="2"/>
  </r>
  <r>
    <n v="10082"/>
    <x v="81"/>
    <x v="3"/>
    <s v="The Hobbit by J.R.R. Tolkien"/>
    <n v="3"/>
    <n v="12.99"/>
    <n v="38.97"/>
    <n v="38.97"/>
    <n v="0"/>
    <x v="0"/>
    <x v="0"/>
  </r>
  <r>
    <n v="10083"/>
    <x v="82"/>
    <x v="4"/>
    <s v="Charlotte Tilbury Magic Cream"/>
    <n v="1"/>
    <n v="100"/>
    <n v="100"/>
    <n v="100"/>
    <n v="0"/>
    <x v="1"/>
    <x v="1"/>
  </r>
  <r>
    <n v="10084"/>
    <x v="83"/>
    <x v="5"/>
    <s v="Spalding NBA Street Basketball"/>
    <n v="6"/>
    <n v="24.99"/>
    <n v="149.94"/>
    <n v="149.94"/>
    <n v="0"/>
    <x v="2"/>
    <x v="0"/>
  </r>
  <r>
    <n v="10085"/>
    <x v="84"/>
    <x v="0"/>
    <s v="Ring Video Doorbell"/>
    <n v="1"/>
    <n v="99.99"/>
    <n v="99.99"/>
    <n v="99.99"/>
    <n v="0"/>
    <x v="0"/>
    <x v="0"/>
  </r>
  <r>
    <n v="10086"/>
    <x v="85"/>
    <x v="1"/>
    <s v="LG OLED TV"/>
    <n v="2"/>
    <n v="1299.99"/>
    <n v="2599.98"/>
    <n v="2599.98"/>
    <n v="0"/>
    <x v="1"/>
    <x v="1"/>
  </r>
  <r>
    <n v="10087"/>
    <x v="86"/>
    <x v="2"/>
    <s v="Uniqlo Ultra Light Down Jacket"/>
    <n v="3"/>
    <n v="79.989999999999995"/>
    <n v="239.96999999999997"/>
    <n v="239.97"/>
    <n v="0"/>
    <x v="2"/>
    <x v="2"/>
  </r>
  <r>
    <n v="10088"/>
    <x v="87"/>
    <x v="3"/>
    <s v="The Catcher in the Rye by J.D. Salinger"/>
    <n v="4"/>
    <n v="13.99"/>
    <n v="55.96"/>
    <n v="55.96"/>
    <n v="0"/>
    <x v="0"/>
    <x v="0"/>
  </r>
  <r>
    <n v="10089"/>
    <x v="88"/>
    <x v="4"/>
    <s v="Sunday Riley Good Genes"/>
    <n v="1"/>
    <n v="105"/>
    <n v="105"/>
    <n v="105"/>
    <n v="0"/>
    <x v="1"/>
    <x v="1"/>
  </r>
  <r>
    <n v="10090"/>
    <x v="89"/>
    <x v="5"/>
    <s v="On Running Cloud Shoes"/>
    <n v="2"/>
    <n v="129.99"/>
    <n v="259.98"/>
    <n v="259.98"/>
    <n v="0"/>
    <x v="2"/>
    <x v="0"/>
  </r>
  <r>
    <n v="10091"/>
    <x v="90"/>
    <x v="0"/>
    <s v="Logitech MX Master 3 Mouse"/>
    <n v="2"/>
    <n v="99.99"/>
    <n v="199.98"/>
    <n v="199.98"/>
    <n v="0"/>
    <x v="0"/>
    <x v="0"/>
  </r>
  <r>
    <n v="10092"/>
    <x v="91"/>
    <x v="1"/>
    <s v="Instant Pot Duo Crisp"/>
    <n v="1"/>
    <n v="179.99"/>
    <n v="179.99"/>
    <n v="179.99"/>
    <n v="0"/>
    <x v="1"/>
    <x v="1"/>
  </r>
  <r>
    <n v="10093"/>
    <x v="92"/>
    <x v="2"/>
    <s v="Adidas Originals Superstar Sneakers"/>
    <n v="4"/>
    <n v="79.989999999999995"/>
    <n v="319.95999999999998"/>
    <n v="319.95999999999998"/>
    <n v="0"/>
    <x v="2"/>
    <x v="2"/>
  </r>
  <r>
    <n v="10094"/>
    <x v="93"/>
    <x v="3"/>
    <s v="The Alchemist by Paulo Coelho"/>
    <n v="3"/>
    <n v="14.99"/>
    <n v="44.97"/>
    <n v="44.97"/>
    <n v="0"/>
    <x v="0"/>
    <x v="0"/>
  </r>
  <r>
    <n v="10095"/>
    <x v="94"/>
    <x v="4"/>
    <s v="Tatcha The Water Cream"/>
    <n v="1"/>
    <n v="68"/>
    <n v="68"/>
    <n v="68"/>
    <n v="0"/>
    <x v="1"/>
    <x v="1"/>
  </r>
  <r>
    <n v="10096"/>
    <x v="95"/>
    <x v="5"/>
    <s v="Garmin Fenix 6X Pro"/>
    <n v="1"/>
    <n v="999.99"/>
    <n v="999.99"/>
    <n v="999.99"/>
    <n v="0"/>
    <x v="2"/>
    <x v="0"/>
  </r>
  <r>
    <n v="10097"/>
    <x v="96"/>
    <x v="0"/>
    <s v="Bose SoundLink Revolve+ Speaker"/>
    <n v="3"/>
    <n v="299.99"/>
    <n v="899.97"/>
    <n v="899.97"/>
    <n v="0"/>
    <x v="0"/>
    <x v="0"/>
  </r>
  <r>
    <n v="10098"/>
    <x v="97"/>
    <x v="1"/>
    <s v="Vitamix Explorian Blender"/>
    <n v="1"/>
    <n v="349.99"/>
    <n v="349.99"/>
    <n v="349.99"/>
    <n v="0"/>
    <x v="1"/>
    <x v="1"/>
  </r>
  <r>
    <n v="10099"/>
    <x v="98"/>
    <x v="2"/>
    <s v="Gap Essential Crewneck T-Shirt"/>
    <n v="6"/>
    <n v="19.989999999999998"/>
    <n v="119.94"/>
    <n v="119.94"/>
    <n v="0"/>
    <x v="2"/>
    <x v="2"/>
  </r>
  <r>
    <n v="10100"/>
    <x v="99"/>
    <x v="3"/>
    <s v="The Power of Now by Eckhart Tolle"/>
    <n v="2"/>
    <n v="12.99"/>
    <n v="25.98"/>
    <n v="25.98"/>
    <n v="0"/>
    <x v="0"/>
    <x v="0"/>
  </r>
  <r>
    <n v="10101"/>
    <x v="100"/>
    <x v="4"/>
    <s v="Kiehl's Midnight Recovery Concentrate"/>
    <n v="1"/>
    <n v="82"/>
    <n v="82"/>
    <n v="82"/>
    <n v="0"/>
    <x v="1"/>
    <x v="1"/>
  </r>
  <r>
    <n v="10102"/>
    <x v="101"/>
    <x v="5"/>
    <s v="Under Armour HOVR Sonic 4 Shoes"/>
    <n v="2"/>
    <n v="109.99"/>
    <n v="219.98"/>
    <n v="219.98"/>
    <n v="0"/>
    <x v="2"/>
    <x v="0"/>
  </r>
  <r>
    <n v="10103"/>
    <x v="102"/>
    <x v="0"/>
    <s v="Canon EOS R5 Camera"/>
    <n v="1"/>
    <n v="3899.99"/>
    <n v="3899.99"/>
    <n v="3899.99"/>
    <n v="0"/>
    <x v="0"/>
    <x v="0"/>
  </r>
  <r>
    <n v="10104"/>
    <x v="103"/>
    <x v="1"/>
    <s v="Shark IQ Robot Vacuum"/>
    <n v="2"/>
    <n v="349.99"/>
    <n v="699.98"/>
    <n v="699.98"/>
    <n v="0"/>
    <x v="1"/>
    <x v="1"/>
  </r>
  <r>
    <n v="10105"/>
    <x v="104"/>
    <x v="2"/>
    <s v="H&amp;M Slim Fit Jeans"/>
    <n v="3"/>
    <n v="39.99"/>
    <n v="119.97"/>
    <n v="119.97"/>
    <n v="0"/>
    <x v="2"/>
    <x v="2"/>
  </r>
  <r>
    <n v="10106"/>
    <x v="105"/>
    <x v="3"/>
    <s v="The Girl on the Train by Paula Hawkins"/>
    <n v="4"/>
    <n v="10.99"/>
    <n v="43.96"/>
    <n v="43.96"/>
    <n v="0"/>
    <x v="0"/>
    <x v="0"/>
  </r>
  <r>
    <n v="10107"/>
    <x v="106"/>
    <x v="4"/>
    <s v="The Ordinary Niacinamide Serum"/>
    <n v="1"/>
    <n v="6.5"/>
    <n v="6.5"/>
    <n v="6.5"/>
    <n v="0"/>
    <x v="1"/>
    <x v="1"/>
  </r>
  <r>
    <n v="10108"/>
    <x v="107"/>
    <x v="5"/>
    <s v="Bowflex SelectTech 552 Dumbbells"/>
    <n v="1"/>
    <n v="399.99"/>
    <n v="399.99"/>
    <n v="399.99"/>
    <n v="0"/>
    <x v="2"/>
    <x v="0"/>
  </r>
  <r>
    <n v="10109"/>
    <x v="108"/>
    <x v="0"/>
    <s v="Google Nest Hub Max"/>
    <n v="2"/>
    <n v="229.99"/>
    <n v="459.98"/>
    <n v="459.98"/>
    <n v="0"/>
    <x v="0"/>
    <x v="0"/>
  </r>
  <r>
    <n v="10110"/>
    <x v="109"/>
    <x v="1"/>
    <s v="Cuisinart Griddler Deluxe"/>
    <n v="1"/>
    <n v="159.99"/>
    <n v="159.99"/>
    <n v="159.99"/>
    <n v="0"/>
    <x v="1"/>
    <x v="1"/>
  </r>
  <r>
    <n v="10111"/>
    <x v="110"/>
    <x v="2"/>
    <s v="Old Navy Relaxed-Fit T-Shirt"/>
    <n v="4"/>
    <n v="14.99"/>
    <n v="59.96"/>
    <n v="59.96"/>
    <n v="0"/>
    <x v="2"/>
    <x v="2"/>
  </r>
  <r>
    <n v="10112"/>
    <x v="111"/>
    <x v="3"/>
    <s v="Sapiens: A Brief History of Humankind by Yuval Noah Harari"/>
    <n v="2"/>
    <n v="18.989999999999998"/>
    <n v="37.979999999999997"/>
    <n v="37.979999999999997"/>
    <n v="0"/>
    <x v="0"/>
    <x v="0"/>
  </r>
  <r>
    <n v="10113"/>
    <x v="112"/>
    <x v="4"/>
    <s v="Biore UV Aqua Rich Watery Essence Sunscreen"/>
    <n v="1"/>
    <n v="15"/>
    <n v="15"/>
    <n v="15"/>
    <n v="0"/>
    <x v="1"/>
    <x v="1"/>
  </r>
  <r>
    <n v="10114"/>
    <x v="113"/>
    <x v="5"/>
    <s v="Fitbit Versa 3"/>
    <n v="3"/>
    <n v="229.95"/>
    <n v="689.84999999999991"/>
    <n v="689.85"/>
    <n v="0"/>
    <x v="2"/>
    <x v="0"/>
  </r>
  <r>
    <n v="10115"/>
    <x v="114"/>
    <x v="0"/>
    <s v="Amazon Echo Show 10"/>
    <n v="1"/>
    <n v="249.99"/>
    <n v="249.99"/>
    <n v="249.99"/>
    <n v="0"/>
    <x v="0"/>
    <x v="0"/>
  </r>
  <r>
    <n v="10116"/>
    <x v="115"/>
    <x v="1"/>
    <s v="Breville Smart Grill"/>
    <n v="2"/>
    <n v="299.95"/>
    <n v="599.9"/>
    <n v="599.9"/>
    <n v="0"/>
    <x v="1"/>
    <x v="1"/>
  </r>
  <r>
    <n v="10117"/>
    <x v="116"/>
    <x v="2"/>
    <s v="Gap High Rise Skinny Jeans"/>
    <n v="3"/>
    <n v="49.99"/>
    <n v="149.97"/>
    <n v="149.97"/>
    <n v="0"/>
    <x v="2"/>
    <x v="2"/>
  </r>
  <r>
    <n v="10118"/>
    <x v="117"/>
    <x v="3"/>
    <s v="Atomic Habits by James Clear"/>
    <n v="4"/>
    <n v="16.989999999999998"/>
    <n v="67.959999999999994"/>
    <n v="67.959999999999994"/>
    <n v="0"/>
    <x v="0"/>
    <x v="0"/>
  </r>
  <r>
    <n v="10119"/>
    <x v="118"/>
    <x v="4"/>
    <s v="CeraVe Hydrating Facial Cleanser"/>
    <n v="2"/>
    <n v="14.99"/>
    <n v="29.98"/>
    <n v="29.98"/>
    <n v="0"/>
    <x v="1"/>
    <x v="1"/>
  </r>
  <r>
    <n v="10120"/>
    <x v="119"/>
    <x v="5"/>
    <s v="YETI Hopper Flip Portable Cooler"/>
    <n v="1"/>
    <n v="249.99"/>
    <n v="249.99"/>
    <n v="249.99"/>
    <n v="0"/>
    <x v="2"/>
    <x v="0"/>
  </r>
  <r>
    <n v="10121"/>
    <x v="120"/>
    <x v="0"/>
    <s v="Apple iPad Air"/>
    <n v="2"/>
    <n v="599.99"/>
    <n v="1199.98"/>
    <n v="1199.98"/>
    <n v="0"/>
    <x v="0"/>
    <x v="0"/>
  </r>
  <r>
    <n v="10122"/>
    <x v="121"/>
    <x v="1"/>
    <s v="Hamilton Beach FlexBrew Coffee Maker"/>
    <n v="1"/>
    <n v="89.99"/>
    <n v="89.99"/>
    <n v="89.99"/>
    <n v="0"/>
    <x v="1"/>
    <x v="1"/>
  </r>
  <r>
    <n v="10123"/>
    <x v="122"/>
    <x v="2"/>
    <s v="Forever 21 Graphic Tee"/>
    <n v="5"/>
    <n v="12.99"/>
    <n v="64.95"/>
    <n v="64.95"/>
    <n v="0"/>
    <x v="2"/>
    <x v="2"/>
  </r>
  <r>
    <n v="10124"/>
    <x v="123"/>
    <x v="3"/>
    <s v="The Subtle Art of Not Giving a F*ck by Mark Manson"/>
    <n v="3"/>
    <n v="14.99"/>
    <n v="44.97"/>
    <n v="44.97"/>
    <n v="0"/>
    <x v="0"/>
    <x v="0"/>
  </r>
  <r>
    <n v="10125"/>
    <x v="124"/>
    <x v="4"/>
    <s v="NARS Radiant Creamy Concealer"/>
    <n v="1"/>
    <n v="30"/>
    <n v="30"/>
    <n v="30"/>
    <n v="0"/>
    <x v="1"/>
    <x v="1"/>
  </r>
  <r>
    <n v="10126"/>
    <x v="125"/>
    <x v="5"/>
    <s v="Yeti Roadie 24 Cooler"/>
    <n v="1"/>
    <n v="199.99"/>
    <n v="199.99"/>
    <n v="199.99"/>
    <n v="0"/>
    <x v="2"/>
    <x v="0"/>
  </r>
  <r>
    <n v="10127"/>
    <x v="126"/>
    <x v="0"/>
    <s v="Sony PlayStation 5"/>
    <n v="1"/>
    <n v="499.99"/>
    <n v="499.99"/>
    <n v="499.99"/>
    <n v="0"/>
    <x v="0"/>
    <x v="0"/>
  </r>
  <r>
    <n v="10128"/>
    <x v="127"/>
    <x v="1"/>
    <s v="Dyson Supersonic Hair Dryer"/>
    <n v="2"/>
    <n v="399.99"/>
    <n v="799.98"/>
    <n v="799.98"/>
    <n v="0"/>
    <x v="1"/>
    <x v="1"/>
  </r>
  <r>
    <n v="10129"/>
    <x v="128"/>
    <x v="2"/>
    <s v="Lululemon Align Leggings"/>
    <n v="3"/>
    <n v="98"/>
    <n v="294"/>
    <n v="294"/>
    <n v="0"/>
    <x v="2"/>
    <x v="2"/>
  </r>
  <r>
    <n v="10130"/>
    <x v="129"/>
    <x v="3"/>
    <s v="The Four Agreements by Don Miguel Ruiz"/>
    <n v="2"/>
    <n v="8.99"/>
    <n v="17.98"/>
    <n v="17.98"/>
    <n v="0"/>
    <x v="0"/>
    <x v="0"/>
  </r>
  <r>
    <n v="10131"/>
    <x v="130"/>
    <x v="4"/>
    <s v="Fenty Beauty Killawatt Highlighter"/>
    <n v="1"/>
    <n v="36"/>
    <n v="36"/>
    <n v="36"/>
    <n v="0"/>
    <x v="1"/>
    <x v="1"/>
  </r>
  <r>
    <n v="10132"/>
    <x v="131"/>
    <x v="5"/>
    <s v="Hydro Flask Wide Mouth Water Bottle"/>
    <n v="4"/>
    <n v="39.950000000000003"/>
    <n v="159.80000000000001"/>
    <n v="159.80000000000001"/>
    <n v="0"/>
    <x v="2"/>
    <x v="0"/>
  </r>
  <r>
    <n v="10133"/>
    <x v="132"/>
    <x v="0"/>
    <s v="Microsoft Surface Laptop 4"/>
    <n v="1"/>
    <n v="1299.99"/>
    <n v="1299.99"/>
    <n v="1299.99"/>
    <n v="0"/>
    <x v="0"/>
    <x v="0"/>
  </r>
  <r>
    <n v="10134"/>
    <x v="133"/>
    <x v="1"/>
    <s v="Keurig K-Mini Coffee Maker"/>
    <n v="2"/>
    <n v="79.989999999999995"/>
    <n v="159.97999999999999"/>
    <n v="159.97999999999999"/>
    <n v="0"/>
    <x v="1"/>
    <x v="1"/>
  </r>
  <r>
    <n v="10135"/>
    <x v="134"/>
    <x v="2"/>
    <s v="Gap Crewneck Sweatshirt"/>
    <n v="4"/>
    <n v="34.99"/>
    <n v="139.96"/>
    <n v="139.96"/>
    <n v="0"/>
    <x v="2"/>
    <x v="2"/>
  </r>
  <r>
    <n v="10136"/>
    <x v="135"/>
    <x v="3"/>
    <s v="Think and Grow Rich by Napoleon Hill"/>
    <n v="3"/>
    <n v="9.99"/>
    <n v="29.97"/>
    <n v="29.97"/>
    <n v="0"/>
    <x v="0"/>
    <x v="0"/>
  </r>
  <r>
    <n v="10137"/>
    <x v="136"/>
    <x v="4"/>
    <s v="The Ordinary Hyaluronic Acid Serum"/>
    <n v="1"/>
    <n v="6.8"/>
    <n v="6.8"/>
    <n v="6.8"/>
    <n v="0"/>
    <x v="1"/>
    <x v="1"/>
  </r>
  <r>
    <n v="10138"/>
    <x v="137"/>
    <x v="5"/>
    <s v="Fitbit Inspire 2"/>
    <n v="2"/>
    <n v="99.95"/>
    <n v="199.9"/>
    <n v="199.9"/>
    <n v="0"/>
    <x v="2"/>
    <x v="0"/>
  </r>
  <r>
    <n v="10139"/>
    <x v="138"/>
    <x v="0"/>
    <s v="Samsung Odyssey G9 Gaming Monitor"/>
    <n v="1"/>
    <n v="1499.99"/>
    <n v="1499.99"/>
    <n v="1499.99"/>
    <n v="0"/>
    <x v="0"/>
    <x v="0"/>
  </r>
  <r>
    <n v="10140"/>
    <x v="139"/>
    <x v="1"/>
    <s v="Instant Pot Ultra"/>
    <n v="1"/>
    <n v="139.99"/>
    <n v="139.99"/>
    <n v="139.99"/>
    <n v="0"/>
    <x v="1"/>
    <x v="1"/>
  </r>
  <r>
    <n v="10141"/>
    <x v="140"/>
    <x v="2"/>
    <s v="Adidas Essential Track Pants"/>
    <n v="3"/>
    <n v="44.99"/>
    <n v="134.97"/>
    <n v="134.97"/>
    <n v="0"/>
    <x v="2"/>
    <x v="2"/>
  </r>
  <r>
    <n v="10142"/>
    <x v="141"/>
    <x v="3"/>
    <s v="The Power of Habit by Charles Duhigg"/>
    <n v="2"/>
    <n v="11.99"/>
    <n v="23.98"/>
    <n v="23.98"/>
    <n v="0"/>
    <x v="0"/>
    <x v="0"/>
  </r>
  <r>
    <n v="10143"/>
    <x v="142"/>
    <x v="4"/>
    <s v="Clinique Dramatically Different Moisturizing Lotion"/>
    <n v="1"/>
    <n v="29.5"/>
    <n v="29.5"/>
    <n v="29.5"/>
    <n v="0"/>
    <x v="1"/>
    <x v="1"/>
  </r>
  <r>
    <n v="10144"/>
    <x v="143"/>
    <x v="5"/>
    <s v="YETI Tundra 45 Cooler"/>
    <n v="1"/>
    <n v="299.99"/>
    <n v="299.99"/>
    <n v="299.99"/>
    <n v="0"/>
    <x v="2"/>
    <x v="0"/>
  </r>
  <r>
    <n v="10145"/>
    <x v="144"/>
    <x v="0"/>
    <s v="Apple AirPods Max"/>
    <n v="1"/>
    <n v="549"/>
    <n v="549"/>
    <n v="549"/>
    <n v="0"/>
    <x v="0"/>
    <x v="0"/>
  </r>
  <r>
    <n v="10146"/>
    <x v="145"/>
    <x v="1"/>
    <s v="Cuisinart Coffee Center"/>
    <n v="2"/>
    <n v="199.95"/>
    <n v="399.9"/>
    <n v="399.9"/>
    <n v="0"/>
    <x v="1"/>
    <x v="1"/>
  </r>
  <r>
    <n v="10147"/>
    <x v="146"/>
    <x v="2"/>
    <s v="Levi's Sherpa Trucker Jacket"/>
    <n v="2"/>
    <n v="98"/>
    <n v="196"/>
    <n v="196"/>
    <n v="0"/>
    <x v="2"/>
    <x v="2"/>
  </r>
  <r>
    <n v="10148"/>
    <x v="147"/>
    <x v="3"/>
    <s v="The Outsiders by S.E. Hinton"/>
    <n v="3"/>
    <n v="10.99"/>
    <n v="32.97"/>
    <n v="32.97"/>
    <n v="0"/>
    <x v="0"/>
    <x v="0"/>
  </r>
  <r>
    <n v="10149"/>
    <x v="148"/>
    <x v="4"/>
    <s v="Laneige Water Sleeping Mask"/>
    <n v="1"/>
    <n v="25"/>
    <n v="25"/>
    <n v="25"/>
    <n v="0"/>
    <x v="1"/>
    <x v="1"/>
  </r>
  <r>
    <n v="10150"/>
    <x v="149"/>
    <x v="5"/>
    <s v="Bose SoundSport Wireless Earbuds"/>
    <n v="2"/>
    <n v="149.99"/>
    <n v="299.98"/>
    <n v="299.98"/>
    <n v="0"/>
    <x v="2"/>
    <x v="0"/>
  </r>
  <r>
    <n v="10151"/>
    <x v="150"/>
    <x v="0"/>
    <s v="Sony WH-1000XM4 Headphones"/>
    <n v="1"/>
    <n v="349.99"/>
    <n v="349.99"/>
    <n v="349.99"/>
    <n v="0"/>
    <x v="0"/>
    <x v="0"/>
  </r>
  <r>
    <n v="10152"/>
    <x v="151"/>
    <x v="1"/>
    <s v="Ninja Foodi Pressure Cooker"/>
    <n v="2"/>
    <n v="199.99"/>
    <n v="399.98"/>
    <n v="399.98"/>
    <n v="0"/>
    <x v="1"/>
    <x v="1"/>
  </r>
  <r>
    <n v="10153"/>
    <x v="152"/>
    <x v="2"/>
    <s v="Nike Sportswear Club Fleece Hoodie"/>
    <n v="3"/>
    <n v="54.99"/>
    <n v="164.97"/>
    <n v="164.97"/>
    <n v="0"/>
    <x v="2"/>
    <x v="2"/>
  </r>
  <r>
    <n v="10154"/>
    <x v="153"/>
    <x v="3"/>
    <s v="The Night Circus by Erin Morgenstern"/>
    <n v="2"/>
    <n v="16.989999999999998"/>
    <n v="33.979999999999997"/>
    <n v="33.979999999999997"/>
    <n v="0"/>
    <x v="0"/>
    <x v="0"/>
  </r>
  <r>
    <n v="10155"/>
    <x v="154"/>
    <x v="4"/>
    <s v="GlamGlow Supermud Clearing Treatment"/>
    <n v="1"/>
    <n v="59"/>
    <n v="59"/>
    <n v="59"/>
    <n v="0"/>
    <x v="1"/>
    <x v="1"/>
  </r>
  <r>
    <n v="10156"/>
    <x v="155"/>
    <x v="5"/>
    <s v="Garmin Forerunner 245"/>
    <n v="1"/>
    <n v="299.99"/>
    <n v="299.99"/>
    <n v="299.99"/>
    <n v="0"/>
    <x v="2"/>
    <x v="0"/>
  </r>
  <r>
    <n v="10157"/>
    <x v="156"/>
    <x v="0"/>
    <s v="Google Pixel 6 Pro"/>
    <n v="1"/>
    <n v="899.99"/>
    <n v="899.99"/>
    <n v="899.99"/>
    <n v="0"/>
    <x v="0"/>
    <x v="0"/>
  </r>
  <r>
    <n v="10158"/>
    <x v="157"/>
    <x v="1"/>
    <s v="Breville Nespresso Creatista Plus"/>
    <n v="1"/>
    <n v="499.95"/>
    <n v="499.95"/>
    <n v="499.95"/>
    <n v="0"/>
    <x v="1"/>
    <x v="1"/>
  </r>
  <r>
    <n v="10159"/>
    <x v="158"/>
    <x v="2"/>
    <s v="Under Armour Tech 2.0 T-Shirt"/>
    <n v="4"/>
    <n v="24.99"/>
    <n v="99.96"/>
    <n v="99.96"/>
    <n v="0"/>
    <x v="2"/>
    <x v="2"/>
  </r>
  <r>
    <n v="10160"/>
    <x v="159"/>
    <x v="3"/>
    <s v="The Art of War by Sun Tzu"/>
    <n v="3"/>
    <n v="7.99"/>
    <n v="23.97"/>
    <n v="23.97"/>
    <n v="0"/>
    <x v="0"/>
    <x v="0"/>
  </r>
  <r>
    <n v="10161"/>
    <x v="160"/>
    <x v="4"/>
    <s v="Youth to the People Superfood Antioxidant Cleanser"/>
    <n v="1"/>
    <n v="36"/>
    <n v="36"/>
    <n v="36"/>
    <n v="0"/>
    <x v="1"/>
    <x v="1"/>
  </r>
  <r>
    <n v="10162"/>
    <x v="161"/>
    <x v="5"/>
    <s v="TriggerPoint GRID Foam Roller"/>
    <n v="2"/>
    <n v="34.99"/>
    <n v="69.98"/>
    <n v="69.98"/>
    <n v="0"/>
    <x v="2"/>
    <x v="0"/>
  </r>
  <r>
    <n v="10163"/>
    <x v="162"/>
    <x v="0"/>
    <s v="Apple MacBook Air"/>
    <n v="1"/>
    <n v="1199.99"/>
    <n v="1199.99"/>
    <n v="1199.99"/>
    <n v="0"/>
    <x v="0"/>
    <x v="0"/>
  </r>
  <r>
    <n v="10164"/>
    <x v="163"/>
    <x v="1"/>
    <s v="Cuisinart Custom 14-Cup Food Processor"/>
    <n v="1"/>
    <n v="199.99"/>
    <n v="199.99"/>
    <n v="199.99"/>
    <n v="0"/>
    <x v="1"/>
    <x v="1"/>
  </r>
  <r>
    <n v="10165"/>
    <x v="164"/>
    <x v="2"/>
    <s v="Adidas 3-Stripes Shorts"/>
    <n v="5"/>
    <n v="29.99"/>
    <n v="149.94999999999999"/>
    <n v="149.94999999999999"/>
    <n v="0"/>
    <x v="2"/>
    <x v="2"/>
  </r>
  <r>
    <n v="10166"/>
    <x v="165"/>
    <x v="3"/>
    <s v="The Hunger Games by Suzanne Collins"/>
    <n v="4"/>
    <n v="8.99"/>
    <n v="35.96"/>
    <n v="35.96"/>
    <n v="0"/>
    <x v="0"/>
    <x v="0"/>
  </r>
  <r>
    <n v="10167"/>
    <x v="166"/>
    <x v="4"/>
    <s v="Neutrogena Hydro Boost Water Gel"/>
    <n v="1"/>
    <n v="16.989999999999998"/>
    <n v="16.989999999999998"/>
    <n v="16.989999999999998"/>
    <n v="0"/>
    <x v="1"/>
    <x v="1"/>
  </r>
  <r>
    <n v="10168"/>
    <x v="167"/>
    <x v="5"/>
    <s v="Yeti Rambler Bottle"/>
    <n v="3"/>
    <n v="49.99"/>
    <n v="149.97"/>
    <n v="149.97"/>
    <n v="0"/>
    <x v="2"/>
    <x v="0"/>
  </r>
  <r>
    <n v="10169"/>
    <x v="168"/>
    <x v="0"/>
    <s v="Samsung Odyssey G7 Gaming Monitor"/>
    <n v="1"/>
    <n v="699.99"/>
    <n v="699.99"/>
    <n v="699.99"/>
    <n v="0"/>
    <x v="0"/>
    <x v="0"/>
  </r>
  <r>
    <n v="10170"/>
    <x v="169"/>
    <x v="1"/>
    <s v="Instant Pot Duo Evo Plus"/>
    <n v="2"/>
    <n v="139.99"/>
    <n v="279.98"/>
    <n v="279.98"/>
    <n v="0"/>
    <x v="1"/>
    <x v="1"/>
  </r>
  <r>
    <n v="10171"/>
    <x v="170"/>
    <x v="2"/>
    <s v="Nike Tempo Running Shorts"/>
    <n v="3"/>
    <n v="34.99"/>
    <n v="104.97"/>
    <n v="104.97"/>
    <n v="0"/>
    <x v="2"/>
    <x v="2"/>
  </r>
  <r>
    <n v="10172"/>
    <x v="171"/>
    <x v="3"/>
    <s v="The Girl with the Dragon Tattoo by Stieg Larsson"/>
    <n v="2"/>
    <n v="9.99"/>
    <n v="19.98"/>
    <n v="19.98"/>
    <n v="0"/>
    <x v="0"/>
    <x v="0"/>
  </r>
  <r>
    <n v="10173"/>
    <x v="172"/>
    <x v="4"/>
    <s v="Paula's Choice Skin Perfecting 2% BHA Liquid Exfoliant"/>
    <n v="1"/>
    <n v="29.5"/>
    <n v="29.5"/>
    <n v="29.5"/>
    <n v="0"/>
    <x v="1"/>
    <x v="1"/>
  </r>
  <r>
    <n v="10174"/>
    <x v="173"/>
    <x v="5"/>
    <s v="Bowflex SelectTech 1090 Adjustable Dumbbells"/>
    <n v="1"/>
    <n v="699.99"/>
    <n v="699.99"/>
    <n v="699.99"/>
    <n v="0"/>
    <x v="2"/>
    <x v="0"/>
  </r>
  <r>
    <n v="10175"/>
    <x v="174"/>
    <x v="0"/>
    <s v="Amazon Fire TV Stick 4K"/>
    <n v="3"/>
    <n v="49.99"/>
    <n v="149.97"/>
    <n v="149.97"/>
    <n v="0"/>
    <x v="0"/>
    <x v="0"/>
  </r>
  <r>
    <n v="10176"/>
    <x v="175"/>
    <x v="1"/>
    <s v="Crock-Pot 6-Quart Slow Cooker"/>
    <n v="2"/>
    <n v="49.99"/>
    <n v="99.98"/>
    <n v="99.98"/>
    <n v="0"/>
    <x v="1"/>
    <x v="1"/>
  </r>
  <r>
    <n v="10177"/>
    <x v="176"/>
    <x v="2"/>
    <s v="Uniqlo Airism Mesh Boxer Briefs"/>
    <n v="4"/>
    <n v="14.9"/>
    <n v="59.6"/>
    <n v="59.6"/>
    <n v="0"/>
    <x v="2"/>
    <x v="2"/>
  </r>
  <r>
    <n v="10178"/>
    <x v="177"/>
    <x v="3"/>
    <s v="The Sun Also Rises by Ernest Hemingway"/>
    <n v="3"/>
    <n v="11.99"/>
    <n v="35.97"/>
    <n v="35.97"/>
    <n v="0"/>
    <x v="0"/>
    <x v="0"/>
  </r>
  <r>
    <n v="10179"/>
    <x v="178"/>
    <x v="4"/>
    <s v="First Aid Beauty Ultra Repair Cream"/>
    <n v="2"/>
    <n v="34"/>
    <n v="68"/>
    <n v="68"/>
    <n v="0"/>
    <x v="1"/>
    <x v="1"/>
  </r>
  <r>
    <n v="10180"/>
    <x v="179"/>
    <x v="5"/>
    <s v="Oakley Holbrook Sunglasses"/>
    <n v="1"/>
    <n v="146"/>
    <n v="146"/>
    <n v="146"/>
    <n v="0"/>
    <x v="2"/>
    <x v="0"/>
  </r>
  <r>
    <n v="10181"/>
    <x v="180"/>
    <x v="0"/>
    <s v="Google Pixelbook Go"/>
    <n v="1"/>
    <n v="649.99"/>
    <n v="649.99"/>
    <n v="649.99"/>
    <n v="0"/>
    <x v="0"/>
    <x v="0"/>
  </r>
  <r>
    <n v="10182"/>
    <x v="181"/>
    <x v="1"/>
    <s v="Dyson V8 Absolute"/>
    <n v="1"/>
    <n v="399.99"/>
    <n v="399.99"/>
    <n v="399.99"/>
    <n v="0"/>
    <x v="1"/>
    <x v="1"/>
  </r>
  <r>
    <n v="10183"/>
    <x v="182"/>
    <x v="2"/>
    <s v="Levi's 511 Slim Fit Jeans"/>
    <n v="3"/>
    <n v="59.99"/>
    <n v="179.97"/>
    <n v="179.97"/>
    <n v="0"/>
    <x v="2"/>
    <x v="2"/>
  </r>
  <r>
    <n v="10184"/>
    <x v="183"/>
    <x v="3"/>
    <s v="The Martian by Andy Weir"/>
    <n v="2"/>
    <n v="12.99"/>
    <n v="25.98"/>
    <n v="25.98"/>
    <n v="0"/>
    <x v="0"/>
    <x v="0"/>
  </r>
  <r>
    <n v="10185"/>
    <x v="184"/>
    <x v="4"/>
    <s v="La Mer CrÃ¨me de la Mer Moisturizer"/>
    <n v="1"/>
    <n v="190"/>
    <n v="190"/>
    <n v="190"/>
    <n v="0"/>
    <x v="1"/>
    <x v="1"/>
  </r>
  <r>
    <n v="10186"/>
    <x v="185"/>
    <x v="5"/>
    <s v="Polar Vantage V2"/>
    <n v="1"/>
    <n v="499.95"/>
    <n v="499.95"/>
    <n v="499.95"/>
    <n v="0"/>
    <x v="2"/>
    <x v="0"/>
  </r>
  <r>
    <n v="10187"/>
    <x v="186"/>
    <x v="0"/>
    <s v="Sonos Beam Soundbar"/>
    <n v="1"/>
    <n v="399"/>
    <n v="399"/>
    <n v="399"/>
    <n v="0"/>
    <x v="0"/>
    <x v="0"/>
  </r>
  <r>
    <n v="10188"/>
    <x v="187"/>
    <x v="1"/>
    <s v="Anova Precision Cooker"/>
    <n v="2"/>
    <n v="199"/>
    <n v="398"/>
    <n v="398"/>
    <n v="0"/>
    <x v="1"/>
    <x v="1"/>
  </r>
  <r>
    <n v="10189"/>
    <x v="188"/>
    <x v="2"/>
    <s v="Nike Dri-FIT Training Shorts"/>
    <n v="4"/>
    <n v="34.99"/>
    <n v="139.96"/>
    <n v="139.96"/>
    <n v="0"/>
    <x v="2"/>
    <x v="2"/>
  </r>
  <r>
    <n v="10190"/>
    <x v="189"/>
    <x v="3"/>
    <s v="The Catcher in the Rye by J.D. Salinger"/>
    <n v="3"/>
    <n v="10.99"/>
    <n v="32.97"/>
    <n v="32.97"/>
    <n v="0"/>
    <x v="0"/>
    <x v="0"/>
  </r>
  <r>
    <n v="10191"/>
    <x v="190"/>
    <x v="4"/>
    <s v="Glossier Cloud Paint"/>
    <n v="1"/>
    <n v="18"/>
    <n v="18"/>
    <n v="18"/>
    <n v="0"/>
    <x v="1"/>
    <x v="1"/>
  </r>
  <r>
    <n v="10192"/>
    <x v="191"/>
    <x v="5"/>
    <s v="TRX All-in-One Suspension Training System"/>
    <n v="1"/>
    <n v="169.95"/>
    <n v="169.95"/>
    <n v="169.95"/>
    <n v="0"/>
    <x v="2"/>
    <x v="0"/>
  </r>
  <r>
    <n v="10193"/>
    <x v="192"/>
    <x v="0"/>
    <s v="Logitech G Pro X Wireless Gaming Headset"/>
    <n v="1"/>
    <n v="199.99"/>
    <n v="199.99"/>
    <n v="199.99"/>
    <n v="0"/>
    <x v="0"/>
    <x v="0"/>
  </r>
  <r>
    <n v="10194"/>
    <x v="193"/>
    <x v="1"/>
    <s v="Breville Smart Coffee Grinder Pro"/>
    <n v="1"/>
    <n v="199.95"/>
    <n v="199.95"/>
    <n v="199.95"/>
    <n v="0"/>
    <x v="1"/>
    <x v="1"/>
  </r>
  <r>
    <n v="10195"/>
    <x v="194"/>
    <x v="2"/>
    <s v="Adidas Ultraboost Running Shoes"/>
    <n v="2"/>
    <n v="179.99"/>
    <n v="359.98"/>
    <n v="359.98"/>
    <n v="0"/>
    <x v="2"/>
    <x v="2"/>
  </r>
  <r>
    <n v="10196"/>
    <x v="195"/>
    <x v="3"/>
    <s v="The Road by Cormac McCarthy"/>
    <n v="2"/>
    <n v="11.99"/>
    <n v="23.98"/>
    <n v="23.98"/>
    <n v="0"/>
    <x v="0"/>
    <x v="0"/>
  </r>
  <r>
    <n v="10197"/>
    <x v="196"/>
    <x v="4"/>
    <s v="Tom Ford Black Orchid Perfume"/>
    <n v="1"/>
    <n v="125"/>
    <n v="125"/>
    <n v="125"/>
    <n v="0"/>
    <x v="1"/>
    <x v="1"/>
  </r>
  <r>
    <n v="10198"/>
    <x v="197"/>
    <x v="5"/>
    <s v="GoPro HERO9 Black"/>
    <n v="1"/>
    <n v="449.99"/>
    <n v="449.99"/>
    <n v="449.99"/>
    <n v="0"/>
    <x v="2"/>
    <x v="0"/>
  </r>
  <r>
    <n v="10199"/>
    <x v="198"/>
    <x v="0"/>
    <s v="Apple TV 4K"/>
    <n v="2"/>
    <n v="179"/>
    <n v="358"/>
    <n v="358"/>
    <n v="0"/>
    <x v="0"/>
    <x v="0"/>
  </r>
  <r>
    <n v="10200"/>
    <x v="199"/>
    <x v="1"/>
    <s v="Instant Pot Duo Nova"/>
    <n v="1"/>
    <n v="99.95"/>
    <n v="99.95"/>
    <n v="99.95"/>
    <n v="0"/>
    <x v="1"/>
    <x v="1"/>
  </r>
  <r>
    <n v="10201"/>
    <x v="200"/>
    <x v="2"/>
    <s v="Gap 1969 Original Fit Jeans"/>
    <n v="3"/>
    <n v="59.99"/>
    <n v="179.97"/>
    <n v="179.97"/>
    <n v="0"/>
    <x v="2"/>
    <x v="2"/>
  </r>
  <r>
    <n v="10202"/>
    <x v="201"/>
    <x v="3"/>
    <s v="The Goldfinch by Donna Tartt"/>
    <n v="2"/>
    <n v="14.99"/>
    <n v="29.98"/>
    <n v="29.98"/>
    <n v="0"/>
    <x v="0"/>
    <x v="0"/>
  </r>
  <r>
    <n v="10203"/>
    <x v="202"/>
    <x v="4"/>
    <s v="Dr. Jart+ Cicapair Tiger Grass Color Correcting Treatment"/>
    <n v="1"/>
    <n v="52"/>
    <n v="52"/>
    <n v="52"/>
    <n v="0"/>
    <x v="1"/>
    <x v="1"/>
  </r>
  <r>
    <n v="10204"/>
    <x v="203"/>
    <x v="5"/>
    <s v="Yeti Tundra Haul Portable Wheeled Cooler"/>
    <n v="1"/>
    <n v="399.99"/>
    <n v="399.99"/>
    <n v="399.99"/>
    <n v="0"/>
    <x v="2"/>
    <x v="0"/>
  </r>
  <r>
    <n v="10205"/>
    <x v="204"/>
    <x v="0"/>
    <s v="Samsung Galaxy Watch 4"/>
    <n v="1"/>
    <n v="299.99"/>
    <n v="299.99"/>
    <n v="299.99"/>
    <n v="0"/>
    <x v="0"/>
    <x v="0"/>
  </r>
  <r>
    <n v="10206"/>
    <x v="205"/>
    <x v="1"/>
    <s v="KitchenAid Stand Mixer"/>
    <n v="1"/>
    <n v="379.99"/>
    <n v="379.99"/>
    <n v="379.99"/>
    <n v="0"/>
    <x v="1"/>
    <x v="1"/>
  </r>
  <r>
    <n v="10207"/>
    <x v="206"/>
    <x v="2"/>
    <s v="Lululemon Wunder Under High-Rise Leggings"/>
    <n v="2"/>
    <n v="98"/>
    <n v="196"/>
    <n v="196"/>
    <n v="0"/>
    <x v="2"/>
    <x v="2"/>
  </r>
  <r>
    <n v="10208"/>
    <x v="207"/>
    <x v="3"/>
    <s v="The Great Alone by Kristin Hannah"/>
    <n v="3"/>
    <n v="16.989999999999998"/>
    <n v="50.97"/>
    <n v="50.97"/>
    <n v="0"/>
    <x v="0"/>
    <x v="0"/>
  </r>
  <r>
    <n v="10209"/>
    <x v="208"/>
    <x v="4"/>
    <s v="Caudalie Vinoperfect Radiance Serum"/>
    <n v="1"/>
    <n v="79"/>
    <n v="79"/>
    <n v="79"/>
    <n v="0"/>
    <x v="1"/>
    <x v="1"/>
  </r>
  <r>
    <n v="10210"/>
    <x v="209"/>
    <x v="5"/>
    <s v="Bose SoundLink Color Bluetooth Speaker II"/>
    <n v="1"/>
    <n v="129"/>
    <n v="129"/>
    <n v="129"/>
    <n v="0"/>
    <x v="2"/>
    <x v="0"/>
  </r>
  <r>
    <n v="10211"/>
    <x v="210"/>
    <x v="0"/>
    <s v="Canon EOS Rebel T7i DSLR Camera"/>
    <n v="1"/>
    <n v="749.99"/>
    <n v="749.99"/>
    <n v="749.99"/>
    <n v="0"/>
    <x v="0"/>
    <x v="0"/>
  </r>
  <r>
    <n v="10212"/>
    <x v="211"/>
    <x v="1"/>
    <s v="Keurig K-Elite Coffee Maker"/>
    <n v="2"/>
    <n v="169.99"/>
    <n v="339.98"/>
    <n v="339.98"/>
    <n v="0"/>
    <x v="1"/>
    <x v="1"/>
  </r>
  <r>
    <n v="10213"/>
    <x v="212"/>
    <x v="2"/>
    <s v="Uniqlo Airism Seamless Boxer Briefs"/>
    <n v="4"/>
    <n v="9.9"/>
    <n v="39.6"/>
    <n v="39.6"/>
    <n v="0"/>
    <x v="2"/>
    <x v="2"/>
  </r>
  <r>
    <n v="10214"/>
    <x v="213"/>
    <x v="3"/>
    <s v="The Girl with the Dragon Tattoo by Stieg Larsson"/>
    <n v="3"/>
    <n v="10.99"/>
    <n v="32.97"/>
    <n v="32.97"/>
    <n v="0"/>
    <x v="0"/>
    <x v="0"/>
  </r>
  <r>
    <n v="10215"/>
    <x v="214"/>
    <x v="4"/>
    <s v="L'Occitane Shea Butter Hand Cream"/>
    <n v="2"/>
    <n v="29"/>
    <n v="58"/>
    <n v="58"/>
    <n v="0"/>
    <x v="1"/>
    <x v="1"/>
  </r>
  <r>
    <n v="10216"/>
    <x v="215"/>
    <x v="5"/>
    <s v="YETI Tundra 65 Cooler"/>
    <n v="1"/>
    <n v="349.99"/>
    <n v="349.99"/>
    <n v="349.99"/>
    <n v="0"/>
    <x v="2"/>
    <x v="0"/>
  </r>
  <r>
    <n v="10217"/>
    <x v="216"/>
    <x v="0"/>
    <s v="Apple MacBook Pro 16-inch"/>
    <n v="1"/>
    <n v="2399"/>
    <n v="2399"/>
    <n v="2399"/>
    <n v="0"/>
    <x v="0"/>
    <x v="0"/>
  </r>
  <r>
    <n v="10218"/>
    <x v="217"/>
    <x v="1"/>
    <s v="iRobot Braava Jet M6"/>
    <n v="1"/>
    <n v="449.99"/>
    <n v="449.99"/>
    <n v="449.99"/>
    <n v="0"/>
    <x v="1"/>
    <x v="1"/>
  </r>
  <r>
    <n v="10219"/>
    <x v="218"/>
    <x v="2"/>
    <s v="Champion Reverse Weave Hoodie"/>
    <n v="3"/>
    <n v="49.99"/>
    <n v="149.97"/>
    <n v="149.97"/>
    <n v="0"/>
    <x v="2"/>
    <x v="2"/>
  </r>
  <r>
    <n v="10220"/>
    <x v="219"/>
    <x v="3"/>
    <s v="The Nightingale by Kristin Hannah"/>
    <n v="2"/>
    <n v="12.99"/>
    <n v="25.98"/>
    <n v="25.98"/>
    <n v="0"/>
    <x v="0"/>
    <x v="0"/>
  </r>
  <r>
    <n v="10221"/>
    <x v="220"/>
    <x v="4"/>
    <s v="Tarte Shape Tape Concealer"/>
    <n v="1"/>
    <n v="27"/>
    <n v="27"/>
    <n v="27"/>
    <n v="0"/>
    <x v="1"/>
    <x v="1"/>
  </r>
  <r>
    <n v="10222"/>
    <x v="221"/>
    <x v="5"/>
    <s v="Garmin Forerunner 945"/>
    <n v="1"/>
    <n v="599.99"/>
    <n v="599.99"/>
    <n v="599.99"/>
    <n v="0"/>
    <x v="2"/>
    <x v="0"/>
  </r>
  <r>
    <n v="10223"/>
    <x v="222"/>
    <x v="0"/>
    <s v="Amazon Echo Dot (4th Gen)"/>
    <n v="4"/>
    <n v="49.99"/>
    <n v="199.96"/>
    <n v="199.96"/>
    <n v="0"/>
    <x v="0"/>
    <x v="0"/>
  </r>
  <r>
    <n v="10224"/>
    <x v="223"/>
    <x v="1"/>
    <s v="Philips Sonicare DiamondClean Toothbrush"/>
    <n v="2"/>
    <n v="229.99"/>
    <n v="459.98"/>
    <n v="459.98"/>
    <n v="0"/>
    <x v="1"/>
    <x v="1"/>
  </r>
  <r>
    <n v="10225"/>
    <x v="224"/>
    <x v="2"/>
    <s v="Old Navy Mid-Rise Rockstar Super Skinny Jeans"/>
    <n v="2"/>
    <n v="44.99"/>
    <n v="89.98"/>
    <n v="89.98"/>
    <n v="0"/>
    <x v="2"/>
    <x v="2"/>
  </r>
  <r>
    <n v="10226"/>
    <x v="225"/>
    <x v="3"/>
    <s v="The Silent Patient by Alex Michaelides"/>
    <n v="3"/>
    <n v="26.99"/>
    <n v="80.97"/>
    <n v="80.97"/>
    <n v="0"/>
    <x v="0"/>
    <x v="0"/>
  </r>
  <r>
    <n v="10227"/>
    <x v="226"/>
    <x v="4"/>
    <s v="The Ordinary Caffeine Solution 5% + EGCG"/>
    <n v="1"/>
    <n v="6.7"/>
    <n v="6.7"/>
    <n v="6.7"/>
    <n v="0"/>
    <x v="1"/>
    <x v="1"/>
  </r>
  <r>
    <n v="10228"/>
    <x v="227"/>
    <x v="5"/>
    <s v="Fitbit Luxe"/>
    <n v="2"/>
    <n v="149.94999999999999"/>
    <n v="299.89999999999998"/>
    <n v="299.89999999999998"/>
    <n v="0"/>
    <x v="2"/>
    <x v="0"/>
  </r>
  <r>
    <n v="10229"/>
    <x v="228"/>
    <x v="0"/>
    <s v="Google Nest Wifi Router"/>
    <n v="1"/>
    <n v="169"/>
    <n v="169"/>
    <n v="169"/>
    <n v="0"/>
    <x v="0"/>
    <x v="0"/>
  </r>
  <r>
    <n v="10230"/>
    <x v="229"/>
    <x v="1"/>
    <s v="Anova Precision Oven"/>
    <n v="1"/>
    <n v="599"/>
    <n v="599"/>
    <n v="599"/>
    <n v="0"/>
    <x v="1"/>
    <x v="1"/>
  </r>
  <r>
    <n v="10231"/>
    <x v="230"/>
    <x v="2"/>
    <s v="Adidas Originals Trefoil Hoodie"/>
    <n v="4"/>
    <n v="64.989999999999995"/>
    <n v="259.95999999999998"/>
    <n v="259.95999999999998"/>
    <n v="0"/>
    <x v="2"/>
    <x v="2"/>
  </r>
  <r>
    <n v="10232"/>
    <x v="231"/>
    <x v="3"/>
    <s v="Dune by Frank Herbert"/>
    <n v="2"/>
    <n v="9.99"/>
    <n v="19.98"/>
    <n v="19.98"/>
    <n v="0"/>
    <x v="0"/>
    <x v="0"/>
  </r>
  <r>
    <n v="10233"/>
    <x v="232"/>
    <x v="4"/>
    <s v="Fresh Sugar Lip Treatment"/>
    <n v="1"/>
    <n v="24"/>
    <n v="24"/>
    <n v="24"/>
    <n v="0"/>
    <x v="1"/>
    <x v="1"/>
  </r>
  <r>
    <n v="10234"/>
    <x v="233"/>
    <x v="5"/>
    <s v="Hydro Flask Standard Mouth Water Bottle"/>
    <n v="3"/>
    <n v="32.950000000000003"/>
    <n v="98.850000000000009"/>
    <n v="98.85"/>
    <n v="0"/>
    <x v="2"/>
    <x v="0"/>
  </r>
  <r>
    <n v="10235"/>
    <x v="234"/>
    <x v="0"/>
    <s v="Bose QuietComfort 35 II Wireless Headphones"/>
    <n v="1"/>
    <n v="299"/>
    <n v="299"/>
    <n v="299"/>
    <n v="0"/>
    <x v="0"/>
    <x v="0"/>
  </r>
  <r>
    <n v="10236"/>
    <x v="235"/>
    <x v="1"/>
    <s v="Nespresso Vertuo Next Coffee and Espresso Maker"/>
    <n v="1"/>
    <n v="159.99"/>
    <n v="159.99"/>
    <n v="159.99"/>
    <n v="0"/>
    <x v="1"/>
    <x v="1"/>
  </r>
  <r>
    <n v="10237"/>
    <x v="236"/>
    <x v="2"/>
    <s v="Nike Air Force 1 Sneakers"/>
    <n v="3"/>
    <n v="90"/>
    <n v="270"/>
    <n v="270"/>
    <n v="0"/>
    <x v="2"/>
    <x v="2"/>
  </r>
  <r>
    <n v="10238"/>
    <x v="237"/>
    <x v="3"/>
    <s v="The Handmaid's Tale by Margaret Atwood"/>
    <n v="3"/>
    <n v="10.99"/>
    <n v="32.97"/>
    <n v="32.97"/>
    <n v="0"/>
    <x v="0"/>
    <x v="0"/>
  </r>
  <r>
    <n v="10239"/>
    <x v="238"/>
    <x v="4"/>
    <s v="Sunday Riley Luna Sleeping Night Oil"/>
    <n v="1"/>
    <n v="55"/>
    <n v="55"/>
    <n v="55"/>
    <n v="0"/>
    <x v="1"/>
    <x v="1"/>
  </r>
  <r>
    <n v="10240"/>
    <x v="239"/>
    <x v="5"/>
    <s v="Yeti Rambler 20 oz Tumbler"/>
    <n v="2"/>
    <n v="29.99"/>
    <n v="59.98"/>
    <n v="59.98"/>
    <n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B1823-2DA4-41E9-AC98-E5CED2804122}" name="Tabela dinâmica1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3:B7" firstHeaderRow="1" firstDataRow="1" firstDataCol="1"/>
  <pivotFields count="12">
    <pivotField showAll="0"/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Revenue" fld="7" baseField="0" baseItem="0" numFmtId="164"/>
  </dataFields>
  <formats count="1">
    <format dxfId="74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34170-3729-411B-833A-B5F881521992}" name="Tabela dinâmica4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A11:B15" firstHeaderRow="1" firstDataRow="1" firstDataCol="1"/>
  <pivotFields count="12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ransaction ID" fld="0" subtotal="count" baseField="10" baseItem="0"/>
  </dataFields>
  <chartFormats count="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C46B1-3DE6-42A3-A57E-0B75D962DF4F}" name="Tabela dinâmica4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A3:E8" firstHeaderRow="1" firstDataRow="2" firstDataCol="1"/>
  <pivotFields count="12">
    <pivotField dataField="1" showAll="0"/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Transaction ID" fld="0" subtotal="count" showDataAs="percentOfRow" baseField="10" baseItem="1" numFmtId="10"/>
  </dataFields>
  <chartFormats count="4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9D4A4-15AE-4230-95A5-AFF21A8C24FD}" name="Tabela dinâmica3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5:B16" firstHeaderRow="1" firstDataRow="1" firstDataCol="0"/>
  <pivotFields count="12">
    <pivotField showAll="0"/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oma de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12574-60B8-4C9D-AA71-709C66122C0F}" name="Tabela dinâmica5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E11" firstHeaderRow="1" firstDataRow="2" firstDataCol="1"/>
  <pivotFields count="12">
    <pivotField showAll="0"/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oma de Total Revenue" fld="7" baseField="0" baseItem="0" numFmtId="164"/>
  </dataFields>
  <formats count="1">
    <format dxfId="73">
      <pivotArea outline="0" collapsedLevelsAreSubtotals="1" fieldPosition="0"/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6C39E6-F8F6-4732-BAAF-374EE53D6B4D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10" dataBound="0" tableColumnId="10"/>
      <queryTableField id="7" name="Total Revenue" tableColumnId="7"/>
      <queryTableField id="11" dataBound="0" tableColumnId="11"/>
      <queryTableField id="8" name="Region" tableColumnId="8"/>
      <queryTableField id="9" name="Payment Method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" xr10:uid="{9505D02C-879D-43C8-A5AF-8E7F8CD89BCF}" sourceName="Meses">
  <pivotTables>
    <pivotTable tabId="3" name="Tabela dinâmica1"/>
    <pivotTable tabId="7" name="Tabela dinâmica5"/>
    <pivotTable tabId="6" name="Tabela dinâmica4"/>
    <pivotTable tabId="7" name="Tabela dinâmica3"/>
    <pivotTable tabId="5" name="Tabela dinâmica4"/>
  </pivotTables>
  <data>
    <tabular pivotCacheId="2018261668">
      <items count="14">
        <i x="1" s="1"/>
        <i x="2" s="1"/>
        <i x="3" s="1"/>
        <i x="4" s="1"/>
        <i x="5" s="1"/>
        <i x="6" s="1"/>
        <i x="7" s="1"/>
        <i x="8" s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0F387DB7-3D3E-4188-9913-C4979F6E42B2}" cache="SegmentaçãodeDados_Meses" caption="Meses" columnCount="8" showCaption="0" style="Novo modelo" rowHeight="54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603CB-D84B-435F-AB2A-9C2BC684F027}" name="Online_Sales_Data" displayName="Online_Sales_Data" ref="A1:K241" tableType="queryTable" totalsRowShown="0">
  <autoFilter ref="A1:K241" xr:uid="{9A1603CB-D84B-435F-AB2A-9C2BC684F027}">
    <filterColumn colId="10">
      <filters>
        <filter val="Credit Card"/>
      </filters>
    </filterColumn>
  </autoFilter>
  <tableColumns count="11">
    <tableColumn id="1" xr3:uid="{BC45A562-9AE0-42DF-99BC-67B8848D1806}" uniqueName="1" name="Transaction ID" queryTableFieldId="1"/>
    <tableColumn id="2" xr3:uid="{A9E77E48-121D-4002-BE19-E65AAF11EB66}" uniqueName="2" name="Date" queryTableFieldId="2" dataDxfId="81"/>
    <tableColumn id="3" xr3:uid="{D10D8704-AD80-414D-B6C6-78C07DF6893E}" uniqueName="3" name="Product Category" queryTableFieldId="3" dataDxfId="80"/>
    <tableColumn id="4" xr3:uid="{54F209B8-C9ED-4167-B8B1-95A037252847}" uniqueName="4" name="Product Name" queryTableFieldId="4" dataDxfId="79"/>
    <tableColumn id="5" xr3:uid="{10F65675-D5A7-4C8C-BFF0-09B25C219167}" uniqueName="5" name="Units Sold" queryTableFieldId="5"/>
    <tableColumn id="6" xr3:uid="{49FF1127-2FA3-4D85-A524-F886AFF84DCE}" uniqueName="6" name="Unit Price" queryTableFieldId="6"/>
    <tableColumn id="10" xr3:uid="{5437880E-5AA2-4EF1-A51F-94177AEC9184}" uniqueName="10" name="Expected Revenue" queryTableFieldId="10" dataDxfId="78">
      <calculatedColumnFormula>Online_Sales_Data[[#This Row],[Units Sold]]*Online_Sales_Data[[#This Row],[Unit Price]]</calculatedColumnFormula>
    </tableColumn>
    <tableColumn id="7" xr3:uid="{B094CCA8-32FE-469F-B562-DE596935BC84}" uniqueName="7" name="Total Revenue" queryTableFieldId="7"/>
    <tableColumn id="11" xr3:uid="{A37F74C0-9356-44DF-BCED-F9EB664B20E8}" uniqueName="11" name="Discount" queryTableFieldId="11" dataDxfId="77">
      <calculatedColumnFormula>Online_Sales_Data[[#This Row],[Expected Revenue]]-Online_Sales_Data[[#This Row],[Total Revenue]]</calculatedColumnFormula>
    </tableColumn>
    <tableColumn id="8" xr3:uid="{04B751FB-1FE5-4A95-AD3F-D46720BE1F38}" uniqueName="8" name="Region" queryTableFieldId="8" dataDxfId="76"/>
    <tableColumn id="9" xr3:uid="{F9E5A4E3-7ADF-42FE-96BA-B5697F3632C2}" uniqueName="9" name="Payment Method" queryTableFieldId="9" dataDxfId="7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B2CA-8A76-42F1-8709-EF0E428F3419}">
  <dimension ref="A1:K241"/>
  <sheetViews>
    <sheetView workbookViewId="0">
      <selection activeCell="D59" sqref="D59"/>
    </sheetView>
  </sheetViews>
  <sheetFormatPr defaultRowHeight="14.4" x14ac:dyDescent="0.3"/>
  <cols>
    <col min="1" max="1" width="15.33203125" bestFit="1" customWidth="1"/>
    <col min="2" max="2" width="15.6640625" bestFit="1" customWidth="1"/>
    <col min="3" max="3" width="18" bestFit="1" customWidth="1"/>
    <col min="4" max="4" width="50.109375" bestFit="1" customWidth="1"/>
    <col min="5" max="5" width="11.6640625" bestFit="1" customWidth="1"/>
    <col min="6" max="6" width="11.33203125" bestFit="1" customWidth="1"/>
    <col min="7" max="7" width="15.33203125" bestFit="1" customWidth="1"/>
    <col min="8" max="8" width="12.88671875" bestFit="1" customWidth="1"/>
    <col min="9" max="9" width="18.109375" bestFit="1" customWidth="1"/>
    <col min="10" max="10" width="12.8867187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253</v>
      </c>
      <c r="H1" t="s">
        <v>6</v>
      </c>
      <c r="I1" t="s">
        <v>254</v>
      </c>
      <c r="J1" t="s">
        <v>7</v>
      </c>
      <c r="K1" t="s">
        <v>8</v>
      </c>
    </row>
    <row r="2" spans="1:11" x14ac:dyDescent="0.3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999.99</v>
      </c>
      <c r="G2">
        <f>Online_Sales_Data[[#This Row],[Units Sold]]*Online_Sales_Data[[#This Row],[Unit Price]]</f>
        <v>1999.98</v>
      </c>
      <c r="H2">
        <v>1999.98</v>
      </c>
      <c r="I2">
        <f>Online_Sales_Data[[#This Row],[Expected Revenue]]-Online_Sales_Data[[#This Row],[Total Revenue]]</f>
        <v>0</v>
      </c>
      <c r="J2" t="s">
        <v>11</v>
      </c>
      <c r="K2" t="s">
        <v>12</v>
      </c>
    </row>
    <row r="3" spans="1:11" hidden="1" x14ac:dyDescent="0.3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499.99</v>
      </c>
      <c r="G3">
        <f>Online_Sales_Data[[#This Row],[Units Sold]]*Online_Sales_Data[[#This Row],[Unit Price]]</f>
        <v>499.99</v>
      </c>
      <c r="H3">
        <v>499.99</v>
      </c>
      <c r="I3">
        <f>Online_Sales_Data[[#This Row],[Expected Revenue]]-Online_Sales_Data[[#This Row],[Total Revenue]]</f>
        <v>0</v>
      </c>
      <c r="J3" t="s">
        <v>15</v>
      </c>
      <c r="K3" t="s">
        <v>16</v>
      </c>
    </row>
    <row r="4" spans="1:11" hidden="1" x14ac:dyDescent="0.3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69.989999999999995</v>
      </c>
      <c r="G4">
        <f>Online_Sales_Data[[#This Row],[Units Sold]]*Online_Sales_Data[[#This Row],[Unit Price]]</f>
        <v>209.96999999999997</v>
      </c>
      <c r="H4">
        <v>209.97</v>
      </c>
      <c r="I4">
        <f>Online_Sales_Data[[#This Row],[Expected Revenue]]-Online_Sales_Data[[#This Row],[Total Revenue]]</f>
        <v>0</v>
      </c>
      <c r="J4" t="s">
        <v>19</v>
      </c>
      <c r="K4" t="s">
        <v>20</v>
      </c>
    </row>
    <row r="5" spans="1:11" x14ac:dyDescent="0.3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15.99</v>
      </c>
      <c r="G5">
        <f>Online_Sales_Data[[#This Row],[Units Sold]]*Online_Sales_Data[[#This Row],[Unit Price]]</f>
        <v>63.96</v>
      </c>
      <c r="H5">
        <v>63.96</v>
      </c>
      <c r="I5">
        <f>Online_Sales_Data[[#This Row],[Expected Revenue]]-Online_Sales_Data[[#This Row],[Total Revenue]]</f>
        <v>0</v>
      </c>
      <c r="J5" t="s">
        <v>11</v>
      </c>
      <c r="K5" t="s">
        <v>12</v>
      </c>
    </row>
    <row r="6" spans="1:11" hidden="1" x14ac:dyDescent="0.3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89.99</v>
      </c>
      <c r="G6">
        <f>Online_Sales_Data[[#This Row],[Units Sold]]*Online_Sales_Data[[#This Row],[Unit Price]]</f>
        <v>89.99</v>
      </c>
      <c r="H6">
        <v>89.99</v>
      </c>
      <c r="I6">
        <f>Online_Sales_Data[[#This Row],[Expected Revenue]]-Online_Sales_Data[[#This Row],[Total Revenue]]</f>
        <v>0</v>
      </c>
      <c r="J6" t="s">
        <v>15</v>
      </c>
      <c r="K6" t="s">
        <v>16</v>
      </c>
    </row>
    <row r="7" spans="1:11" x14ac:dyDescent="0.3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f>Online_Sales_Data[[#This Row],[Units Sold]]*Online_Sales_Data[[#This Row],[Unit Price]]</f>
        <v>149.94999999999999</v>
      </c>
      <c r="H7">
        <v>149.94999999999999</v>
      </c>
      <c r="I7">
        <f>Online_Sales_Data[[#This Row],[Expected Revenue]]-Online_Sales_Data[[#This Row],[Total Revenue]]</f>
        <v>0</v>
      </c>
      <c r="J7" t="s">
        <v>19</v>
      </c>
      <c r="K7" t="s">
        <v>12</v>
      </c>
    </row>
    <row r="8" spans="1:11" x14ac:dyDescent="0.3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2499.9899999999998</v>
      </c>
      <c r="G8">
        <f>Online_Sales_Data[[#This Row],[Units Sold]]*Online_Sales_Data[[#This Row],[Unit Price]]</f>
        <v>2499.9899999999998</v>
      </c>
      <c r="H8">
        <v>2499.9899999999998</v>
      </c>
      <c r="I8">
        <f>Online_Sales_Data[[#This Row],[Expected Revenue]]-Online_Sales_Data[[#This Row],[Total Revenue]]</f>
        <v>0</v>
      </c>
      <c r="J8" t="s">
        <v>11</v>
      </c>
      <c r="K8" t="s">
        <v>12</v>
      </c>
    </row>
    <row r="9" spans="1:11" hidden="1" x14ac:dyDescent="0.3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599.99</v>
      </c>
      <c r="G9">
        <f>Online_Sales_Data[[#This Row],[Units Sold]]*Online_Sales_Data[[#This Row],[Unit Price]]</f>
        <v>1199.98</v>
      </c>
      <c r="H9">
        <v>1199.98</v>
      </c>
      <c r="I9">
        <f>Online_Sales_Data[[#This Row],[Expected Revenue]]-Online_Sales_Data[[#This Row],[Total Revenue]]</f>
        <v>0</v>
      </c>
      <c r="J9" t="s">
        <v>15</v>
      </c>
      <c r="K9" t="s">
        <v>16</v>
      </c>
    </row>
    <row r="10" spans="1:11" hidden="1" x14ac:dyDescent="0.3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89.99</v>
      </c>
      <c r="G10">
        <f>Online_Sales_Data[[#This Row],[Units Sold]]*Online_Sales_Data[[#This Row],[Unit Price]]</f>
        <v>539.93999999999994</v>
      </c>
      <c r="H10">
        <v>539.94000000000005</v>
      </c>
      <c r="I10">
        <f>Online_Sales_Data[[#This Row],[Expected Revenue]]-Online_Sales_Data[[#This Row],[Total Revenue]]</f>
        <v>0</v>
      </c>
      <c r="J10" t="s">
        <v>19</v>
      </c>
      <c r="K10" t="s">
        <v>20</v>
      </c>
    </row>
    <row r="11" spans="1:11" x14ac:dyDescent="0.3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25.99</v>
      </c>
      <c r="G11">
        <f>Online_Sales_Data[[#This Row],[Units Sold]]*Online_Sales_Data[[#This Row],[Unit Price]]</f>
        <v>51.98</v>
      </c>
      <c r="H11">
        <v>51.98</v>
      </c>
      <c r="I11">
        <f>Online_Sales_Data[[#This Row],[Expected Revenue]]-Online_Sales_Data[[#This Row],[Total Revenue]]</f>
        <v>0</v>
      </c>
      <c r="J11" t="s">
        <v>11</v>
      </c>
      <c r="K11" t="s">
        <v>12</v>
      </c>
    </row>
    <row r="12" spans="1:11" hidden="1" x14ac:dyDescent="0.3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129.99</v>
      </c>
      <c r="G12">
        <f>Online_Sales_Data[[#This Row],[Units Sold]]*Online_Sales_Data[[#This Row],[Unit Price]]</f>
        <v>129.99</v>
      </c>
      <c r="H12">
        <v>129.99</v>
      </c>
      <c r="I12">
        <f>Online_Sales_Data[[#This Row],[Expected Revenue]]-Online_Sales_Data[[#This Row],[Total Revenue]]</f>
        <v>0</v>
      </c>
      <c r="J12" t="s">
        <v>15</v>
      </c>
      <c r="K12" t="s">
        <v>16</v>
      </c>
    </row>
    <row r="13" spans="1:11" x14ac:dyDescent="0.3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199.99</v>
      </c>
      <c r="G13">
        <f>Online_Sales_Data[[#This Row],[Units Sold]]*Online_Sales_Data[[#This Row],[Unit Price]]</f>
        <v>599.97</v>
      </c>
      <c r="H13">
        <v>599.97</v>
      </c>
      <c r="I13">
        <f>Online_Sales_Data[[#This Row],[Expected Revenue]]-Online_Sales_Data[[#This Row],[Total Revenue]]</f>
        <v>0</v>
      </c>
      <c r="J13" t="s">
        <v>19</v>
      </c>
      <c r="K13" t="s">
        <v>12</v>
      </c>
    </row>
    <row r="14" spans="1:11" x14ac:dyDescent="0.3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749.99</v>
      </c>
      <c r="G14">
        <f>Online_Sales_Data[[#This Row],[Units Sold]]*Online_Sales_Data[[#This Row],[Unit Price]]</f>
        <v>1499.98</v>
      </c>
      <c r="H14">
        <v>1499.98</v>
      </c>
      <c r="I14">
        <f>Online_Sales_Data[[#This Row],[Expected Revenue]]-Online_Sales_Data[[#This Row],[Total Revenue]]</f>
        <v>0</v>
      </c>
      <c r="J14" t="s">
        <v>11</v>
      </c>
      <c r="K14" t="s">
        <v>12</v>
      </c>
    </row>
    <row r="15" spans="1:11" hidden="1" x14ac:dyDescent="0.3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189.99</v>
      </c>
      <c r="G15">
        <f>Online_Sales_Data[[#This Row],[Units Sold]]*Online_Sales_Data[[#This Row],[Unit Price]]</f>
        <v>189.99</v>
      </c>
      <c r="H15">
        <v>189.99</v>
      </c>
      <c r="I15">
        <f>Online_Sales_Data[[#This Row],[Expected Revenue]]-Online_Sales_Data[[#This Row],[Total Revenue]]</f>
        <v>0</v>
      </c>
      <c r="J15" t="s">
        <v>15</v>
      </c>
      <c r="K15" t="s">
        <v>16</v>
      </c>
    </row>
    <row r="16" spans="1:11" hidden="1" x14ac:dyDescent="0.3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249.99</v>
      </c>
      <c r="G16">
        <f>Online_Sales_Data[[#This Row],[Units Sold]]*Online_Sales_Data[[#This Row],[Unit Price]]</f>
        <v>499.98</v>
      </c>
      <c r="H16">
        <v>499.98</v>
      </c>
      <c r="I16">
        <f>Online_Sales_Data[[#This Row],[Expected Revenue]]-Online_Sales_Data[[#This Row],[Total Revenue]]</f>
        <v>0</v>
      </c>
      <c r="J16" t="s">
        <v>19</v>
      </c>
      <c r="K16" t="s">
        <v>20</v>
      </c>
    </row>
    <row r="17" spans="1:11" x14ac:dyDescent="0.3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35.99</v>
      </c>
      <c r="G17">
        <f>Online_Sales_Data[[#This Row],[Units Sold]]*Online_Sales_Data[[#This Row],[Unit Price]]</f>
        <v>107.97</v>
      </c>
      <c r="H17">
        <v>107.97</v>
      </c>
      <c r="I17">
        <f>Online_Sales_Data[[#This Row],[Expected Revenue]]-Online_Sales_Data[[#This Row],[Total Revenue]]</f>
        <v>0</v>
      </c>
      <c r="J17" t="s">
        <v>11</v>
      </c>
      <c r="K17" t="s">
        <v>12</v>
      </c>
    </row>
    <row r="18" spans="1:11" hidden="1" x14ac:dyDescent="0.3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399.99</v>
      </c>
      <c r="G18">
        <f>Online_Sales_Data[[#This Row],[Units Sold]]*Online_Sales_Data[[#This Row],[Unit Price]]</f>
        <v>399.99</v>
      </c>
      <c r="H18">
        <v>399.99</v>
      </c>
      <c r="I18">
        <f>Online_Sales_Data[[#This Row],[Expected Revenue]]-Online_Sales_Data[[#This Row],[Total Revenue]]</f>
        <v>0</v>
      </c>
      <c r="J18" t="s">
        <v>15</v>
      </c>
      <c r="K18" t="s">
        <v>16</v>
      </c>
    </row>
    <row r="19" spans="1:11" x14ac:dyDescent="0.3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119.99</v>
      </c>
      <c r="G19">
        <f>Online_Sales_Data[[#This Row],[Units Sold]]*Online_Sales_Data[[#This Row],[Unit Price]]</f>
        <v>479.96</v>
      </c>
      <c r="H19">
        <v>479.96</v>
      </c>
      <c r="I19">
        <f>Online_Sales_Data[[#This Row],[Expected Revenue]]-Online_Sales_Data[[#This Row],[Total Revenue]]</f>
        <v>0</v>
      </c>
      <c r="J19" t="s">
        <v>19</v>
      </c>
      <c r="K19" t="s">
        <v>12</v>
      </c>
    </row>
    <row r="20" spans="1:11" x14ac:dyDescent="0.3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499.99</v>
      </c>
      <c r="G20">
        <f>Online_Sales_Data[[#This Row],[Units Sold]]*Online_Sales_Data[[#This Row],[Unit Price]]</f>
        <v>999.98</v>
      </c>
      <c r="H20">
        <v>999.98</v>
      </c>
      <c r="I20">
        <f>Online_Sales_Data[[#This Row],[Expected Revenue]]-Online_Sales_Data[[#This Row],[Total Revenue]]</f>
        <v>0</v>
      </c>
      <c r="J20" t="s">
        <v>11</v>
      </c>
      <c r="K20" t="s">
        <v>12</v>
      </c>
    </row>
    <row r="21" spans="1:11" hidden="1" x14ac:dyDescent="0.3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99.99</v>
      </c>
      <c r="G21">
        <f>Online_Sales_Data[[#This Row],[Units Sold]]*Online_Sales_Data[[#This Row],[Unit Price]]</f>
        <v>99.99</v>
      </c>
      <c r="H21">
        <v>99.99</v>
      </c>
      <c r="I21">
        <f>Online_Sales_Data[[#This Row],[Expected Revenue]]-Online_Sales_Data[[#This Row],[Total Revenue]]</f>
        <v>0</v>
      </c>
      <c r="J21" t="s">
        <v>15</v>
      </c>
      <c r="K21" t="s">
        <v>16</v>
      </c>
    </row>
    <row r="22" spans="1:11" hidden="1" x14ac:dyDescent="0.3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59.99</v>
      </c>
      <c r="G22">
        <f>Online_Sales_Data[[#This Row],[Units Sold]]*Online_Sales_Data[[#This Row],[Unit Price]]</f>
        <v>179.97</v>
      </c>
      <c r="H22">
        <v>179.97</v>
      </c>
      <c r="I22">
        <f>Online_Sales_Data[[#This Row],[Expected Revenue]]-Online_Sales_Data[[#This Row],[Total Revenue]]</f>
        <v>0</v>
      </c>
      <c r="J22" t="s">
        <v>19</v>
      </c>
      <c r="K22" t="s">
        <v>20</v>
      </c>
    </row>
    <row r="23" spans="1:11" x14ac:dyDescent="0.3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22.99</v>
      </c>
      <c r="G23">
        <f>Online_Sales_Data[[#This Row],[Units Sold]]*Online_Sales_Data[[#This Row],[Unit Price]]</f>
        <v>45.98</v>
      </c>
      <c r="H23">
        <v>45.98</v>
      </c>
      <c r="I23">
        <f>Online_Sales_Data[[#This Row],[Expected Revenue]]-Online_Sales_Data[[#This Row],[Total Revenue]]</f>
        <v>0</v>
      </c>
      <c r="J23" t="s">
        <v>11</v>
      </c>
      <c r="K23" t="s">
        <v>12</v>
      </c>
    </row>
    <row r="24" spans="1:11" hidden="1" x14ac:dyDescent="0.3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49.99</v>
      </c>
      <c r="G24">
        <f>Online_Sales_Data[[#This Row],[Units Sold]]*Online_Sales_Data[[#This Row],[Unit Price]]</f>
        <v>49.99</v>
      </c>
      <c r="H24">
        <v>49.99</v>
      </c>
      <c r="I24">
        <f>Online_Sales_Data[[#This Row],[Expected Revenue]]-Online_Sales_Data[[#This Row],[Total Revenue]]</f>
        <v>0</v>
      </c>
      <c r="J24" t="s">
        <v>15</v>
      </c>
      <c r="K24" t="s">
        <v>16</v>
      </c>
    </row>
    <row r="25" spans="1:11" x14ac:dyDescent="0.3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29.99</v>
      </c>
      <c r="G25">
        <f>Online_Sales_Data[[#This Row],[Units Sold]]*Online_Sales_Data[[#This Row],[Unit Price]]</f>
        <v>89.97</v>
      </c>
      <c r="H25">
        <v>89.97</v>
      </c>
      <c r="I25">
        <f>Online_Sales_Data[[#This Row],[Expected Revenue]]-Online_Sales_Data[[#This Row],[Total Revenue]]</f>
        <v>0</v>
      </c>
      <c r="J25" t="s">
        <v>19</v>
      </c>
      <c r="K25" t="s">
        <v>12</v>
      </c>
    </row>
    <row r="26" spans="1:11" x14ac:dyDescent="0.3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299.99</v>
      </c>
      <c r="G26">
        <f>Online_Sales_Data[[#This Row],[Units Sold]]*Online_Sales_Data[[#This Row],[Unit Price]]</f>
        <v>299.99</v>
      </c>
      <c r="H26">
        <v>299.99</v>
      </c>
      <c r="I26">
        <f>Online_Sales_Data[[#This Row],[Expected Revenue]]-Online_Sales_Data[[#This Row],[Total Revenue]]</f>
        <v>0</v>
      </c>
      <c r="J26" t="s">
        <v>11</v>
      </c>
      <c r="K26" t="s">
        <v>12</v>
      </c>
    </row>
    <row r="27" spans="1:11" hidden="1" x14ac:dyDescent="0.3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179.99</v>
      </c>
      <c r="G27">
        <f>Online_Sales_Data[[#This Row],[Units Sold]]*Online_Sales_Data[[#This Row],[Unit Price]]</f>
        <v>179.99</v>
      </c>
      <c r="H27">
        <v>179.99</v>
      </c>
      <c r="I27">
        <f>Online_Sales_Data[[#This Row],[Expected Revenue]]-Online_Sales_Data[[#This Row],[Total Revenue]]</f>
        <v>0</v>
      </c>
      <c r="J27" t="s">
        <v>15</v>
      </c>
      <c r="K27" t="s">
        <v>16</v>
      </c>
    </row>
    <row r="28" spans="1:11" hidden="1" x14ac:dyDescent="0.3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179.99</v>
      </c>
      <c r="G28">
        <f>Online_Sales_Data[[#This Row],[Units Sold]]*Online_Sales_Data[[#This Row],[Unit Price]]</f>
        <v>359.98</v>
      </c>
      <c r="H28">
        <v>359.98</v>
      </c>
      <c r="I28">
        <f>Online_Sales_Data[[#This Row],[Expected Revenue]]-Online_Sales_Data[[#This Row],[Total Revenue]]</f>
        <v>0</v>
      </c>
      <c r="J28" t="s">
        <v>19</v>
      </c>
      <c r="K28" t="s">
        <v>20</v>
      </c>
    </row>
    <row r="29" spans="1:11" x14ac:dyDescent="0.3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12.99</v>
      </c>
      <c r="G29">
        <f>Online_Sales_Data[[#This Row],[Units Sold]]*Online_Sales_Data[[#This Row],[Unit Price]]</f>
        <v>38.97</v>
      </c>
      <c r="H29">
        <v>38.97</v>
      </c>
      <c r="I29">
        <f>Online_Sales_Data[[#This Row],[Expected Revenue]]-Online_Sales_Data[[#This Row],[Total Revenue]]</f>
        <v>0</v>
      </c>
      <c r="J29" t="s">
        <v>11</v>
      </c>
      <c r="K29" t="s">
        <v>12</v>
      </c>
    </row>
    <row r="30" spans="1:11" hidden="1" x14ac:dyDescent="0.3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29.99</v>
      </c>
      <c r="G30">
        <f>Online_Sales_Data[[#This Row],[Units Sold]]*Online_Sales_Data[[#This Row],[Unit Price]]</f>
        <v>29.99</v>
      </c>
      <c r="H30">
        <v>29.99</v>
      </c>
      <c r="I30">
        <f>Online_Sales_Data[[#This Row],[Expected Revenue]]-Online_Sales_Data[[#This Row],[Total Revenue]]</f>
        <v>0</v>
      </c>
      <c r="J30" t="s">
        <v>15</v>
      </c>
      <c r="K30" t="s">
        <v>16</v>
      </c>
    </row>
    <row r="31" spans="1:11" x14ac:dyDescent="0.3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129.99</v>
      </c>
      <c r="G31">
        <f>Online_Sales_Data[[#This Row],[Units Sold]]*Online_Sales_Data[[#This Row],[Unit Price]]</f>
        <v>259.98</v>
      </c>
      <c r="H31">
        <v>259.98</v>
      </c>
      <c r="I31">
        <f>Online_Sales_Data[[#This Row],[Expected Revenue]]-Online_Sales_Data[[#This Row],[Total Revenue]]</f>
        <v>0</v>
      </c>
      <c r="J31" t="s">
        <v>19</v>
      </c>
      <c r="K31" t="s">
        <v>12</v>
      </c>
    </row>
    <row r="32" spans="1:11" x14ac:dyDescent="0.3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349.99</v>
      </c>
      <c r="G32">
        <f>Online_Sales_Data[[#This Row],[Units Sold]]*Online_Sales_Data[[#This Row],[Unit Price]]</f>
        <v>699.98</v>
      </c>
      <c r="H32">
        <v>699.98</v>
      </c>
      <c r="I32">
        <f>Online_Sales_Data[[#This Row],[Expected Revenue]]-Online_Sales_Data[[#This Row],[Total Revenue]]</f>
        <v>0</v>
      </c>
      <c r="J32" t="s">
        <v>11</v>
      </c>
      <c r="K32" t="s">
        <v>12</v>
      </c>
    </row>
    <row r="33" spans="1:11" hidden="1" x14ac:dyDescent="0.3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89.99</v>
      </c>
      <c r="G33">
        <f>Online_Sales_Data[[#This Row],[Units Sold]]*Online_Sales_Data[[#This Row],[Unit Price]]</f>
        <v>269.96999999999997</v>
      </c>
      <c r="H33">
        <v>269.97000000000003</v>
      </c>
      <c r="I33">
        <f>Online_Sales_Data[[#This Row],[Expected Revenue]]-Online_Sales_Data[[#This Row],[Total Revenue]]</f>
        <v>0</v>
      </c>
      <c r="J33" t="s">
        <v>15</v>
      </c>
      <c r="K33" t="s">
        <v>16</v>
      </c>
    </row>
    <row r="34" spans="1:11" hidden="1" x14ac:dyDescent="0.3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29.99</v>
      </c>
      <c r="G34">
        <f>Online_Sales_Data[[#This Row],[Units Sold]]*Online_Sales_Data[[#This Row],[Unit Price]]</f>
        <v>149.94999999999999</v>
      </c>
      <c r="H34">
        <v>149.94999999999999</v>
      </c>
      <c r="I34">
        <f>Online_Sales_Data[[#This Row],[Expected Revenue]]-Online_Sales_Data[[#This Row],[Total Revenue]]</f>
        <v>0</v>
      </c>
      <c r="J34" t="s">
        <v>19</v>
      </c>
      <c r="K34" t="s">
        <v>20</v>
      </c>
    </row>
    <row r="35" spans="1:11" x14ac:dyDescent="0.3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19.989999999999998</v>
      </c>
      <c r="G35">
        <f>Online_Sales_Data[[#This Row],[Units Sold]]*Online_Sales_Data[[#This Row],[Unit Price]]</f>
        <v>79.959999999999994</v>
      </c>
      <c r="H35">
        <v>79.959999999999994</v>
      </c>
      <c r="I35">
        <f>Online_Sales_Data[[#This Row],[Expected Revenue]]-Online_Sales_Data[[#This Row],[Total Revenue]]</f>
        <v>0</v>
      </c>
      <c r="J35" t="s">
        <v>11</v>
      </c>
      <c r="K35" t="s">
        <v>12</v>
      </c>
    </row>
    <row r="36" spans="1:11" hidden="1" x14ac:dyDescent="0.3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39.99</v>
      </c>
      <c r="G36">
        <f>Online_Sales_Data[[#This Row],[Units Sold]]*Online_Sales_Data[[#This Row],[Unit Price]]</f>
        <v>79.98</v>
      </c>
      <c r="H36">
        <v>79.98</v>
      </c>
      <c r="I36">
        <f>Online_Sales_Data[[#This Row],[Expected Revenue]]-Online_Sales_Data[[#This Row],[Total Revenue]]</f>
        <v>0</v>
      </c>
      <c r="J36" t="s">
        <v>15</v>
      </c>
      <c r="K36" t="s">
        <v>16</v>
      </c>
    </row>
    <row r="37" spans="1:11" x14ac:dyDescent="0.3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f>Online_Sales_Data[[#This Row],[Units Sold]]*Online_Sales_Data[[#This Row],[Unit Price]]</f>
        <v>1895</v>
      </c>
      <c r="H37">
        <v>1895</v>
      </c>
      <c r="I37">
        <f>Online_Sales_Data[[#This Row],[Expected Revenue]]-Online_Sales_Data[[#This Row],[Total Revenue]]</f>
        <v>0</v>
      </c>
      <c r="J37" t="s">
        <v>19</v>
      </c>
      <c r="K37" t="s">
        <v>12</v>
      </c>
    </row>
    <row r="38" spans="1:11" x14ac:dyDescent="0.3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399.99</v>
      </c>
      <c r="G38">
        <f>Online_Sales_Data[[#This Row],[Units Sold]]*Online_Sales_Data[[#This Row],[Unit Price]]</f>
        <v>1199.97</v>
      </c>
      <c r="H38">
        <v>1199.97</v>
      </c>
      <c r="I38">
        <f>Online_Sales_Data[[#This Row],[Expected Revenue]]-Online_Sales_Data[[#This Row],[Total Revenue]]</f>
        <v>0</v>
      </c>
      <c r="J38" t="s">
        <v>11</v>
      </c>
      <c r="K38" t="s">
        <v>12</v>
      </c>
    </row>
    <row r="39" spans="1:11" hidden="1" x14ac:dyDescent="0.3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799.99</v>
      </c>
      <c r="G39">
        <f>Online_Sales_Data[[#This Row],[Units Sold]]*Online_Sales_Data[[#This Row],[Unit Price]]</f>
        <v>1599.98</v>
      </c>
      <c r="H39">
        <v>1599.98</v>
      </c>
      <c r="I39">
        <f>Online_Sales_Data[[#This Row],[Expected Revenue]]-Online_Sales_Data[[#This Row],[Total Revenue]]</f>
        <v>0</v>
      </c>
      <c r="J39" t="s">
        <v>15</v>
      </c>
      <c r="K39" t="s">
        <v>16</v>
      </c>
    </row>
    <row r="40" spans="1:11" hidden="1" x14ac:dyDescent="0.3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59.99</v>
      </c>
      <c r="G40">
        <f>Online_Sales_Data[[#This Row],[Units Sold]]*Online_Sales_Data[[#This Row],[Unit Price]]</f>
        <v>239.96</v>
      </c>
      <c r="H40">
        <v>239.96</v>
      </c>
      <c r="I40">
        <f>Online_Sales_Data[[#This Row],[Expected Revenue]]-Online_Sales_Data[[#This Row],[Total Revenue]]</f>
        <v>0</v>
      </c>
      <c r="J40" t="s">
        <v>19</v>
      </c>
      <c r="K40" t="s">
        <v>20</v>
      </c>
    </row>
    <row r="41" spans="1:11" x14ac:dyDescent="0.3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24.99</v>
      </c>
      <c r="G41">
        <f>Online_Sales_Data[[#This Row],[Units Sold]]*Online_Sales_Data[[#This Row],[Unit Price]]</f>
        <v>74.97</v>
      </c>
      <c r="H41">
        <v>74.97</v>
      </c>
      <c r="I41">
        <f>Online_Sales_Data[[#This Row],[Expected Revenue]]-Online_Sales_Data[[#This Row],[Total Revenue]]</f>
        <v>0</v>
      </c>
      <c r="J41" t="s">
        <v>11</v>
      </c>
      <c r="K41" t="s">
        <v>12</v>
      </c>
    </row>
    <row r="42" spans="1:11" hidden="1" x14ac:dyDescent="0.3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f>Online_Sales_Data[[#This Row],[Units Sold]]*Online_Sales_Data[[#This Row],[Unit Price]]</f>
        <v>105</v>
      </c>
      <c r="H42">
        <v>105</v>
      </c>
      <c r="I42">
        <f>Online_Sales_Data[[#This Row],[Expected Revenue]]-Online_Sales_Data[[#This Row],[Total Revenue]]</f>
        <v>0</v>
      </c>
      <c r="J42" t="s">
        <v>15</v>
      </c>
      <c r="K42" t="s">
        <v>16</v>
      </c>
    </row>
    <row r="43" spans="1:11" x14ac:dyDescent="0.3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129.99</v>
      </c>
      <c r="G43">
        <f>Online_Sales_Data[[#This Row],[Units Sold]]*Online_Sales_Data[[#This Row],[Unit Price]]</f>
        <v>259.98</v>
      </c>
      <c r="H43">
        <v>259.98</v>
      </c>
      <c r="I43">
        <f>Online_Sales_Data[[#This Row],[Expected Revenue]]-Online_Sales_Data[[#This Row],[Total Revenue]]</f>
        <v>0</v>
      </c>
      <c r="J43" t="s">
        <v>19</v>
      </c>
      <c r="K43" t="s">
        <v>12</v>
      </c>
    </row>
    <row r="44" spans="1:11" x14ac:dyDescent="0.3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399.99</v>
      </c>
      <c r="G44">
        <f>Online_Sales_Data[[#This Row],[Units Sold]]*Online_Sales_Data[[#This Row],[Unit Price]]</f>
        <v>1199.97</v>
      </c>
      <c r="H44">
        <v>1199.97</v>
      </c>
      <c r="I44">
        <f>Online_Sales_Data[[#This Row],[Expected Revenue]]-Online_Sales_Data[[#This Row],[Total Revenue]]</f>
        <v>0</v>
      </c>
      <c r="J44" t="s">
        <v>11</v>
      </c>
      <c r="K44" t="s">
        <v>12</v>
      </c>
    </row>
    <row r="45" spans="1:11" hidden="1" x14ac:dyDescent="0.3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199.99</v>
      </c>
      <c r="G45">
        <f>Online_Sales_Data[[#This Row],[Units Sold]]*Online_Sales_Data[[#This Row],[Unit Price]]</f>
        <v>199.99</v>
      </c>
      <c r="H45">
        <v>199.99</v>
      </c>
      <c r="I45">
        <f>Online_Sales_Data[[#This Row],[Expected Revenue]]-Online_Sales_Data[[#This Row],[Total Revenue]]</f>
        <v>0</v>
      </c>
      <c r="J45" t="s">
        <v>15</v>
      </c>
      <c r="K45" t="s">
        <v>16</v>
      </c>
    </row>
    <row r="46" spans="1:11" hidden="1" x14ac:dyDescent="0.3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139.99</v>
      </c>
      <c r="G46">
        <f>Online_Sales_Data[[#This Row],[Units Sold]]*Online_Sales_Data[[#This Row],[Unit Price]]</f>
        <v>279.98</v>
      </c>
      <c r="H46">
        <v>279.98</v>
      </c>
      <c r="I46">
        <f>Online_Sales_Data[[#This Row],[Expected Revenue]]-Online_Sales_Data[[#This Row],[Total Revenue]]</f>
        <v>0</v>
      </c>
      <c r="J46" t="s">
        <v>19</v>
      </c>
      <c r="K46" t="s">
        <v>20</v>
      </c>
    </row>
    <row r="47" spans="1:11" x14ac:dyDescent="0.3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32.5</v>
      </c>
      <c r="G47">
        <f>Online_Sales_Data[[#This Row],[Units Sold]]*Online_Sales_Data[[#This Row],[Unit Price]]</f>
        <v>130</v>
      </c>
      <c r="H47">
        <v>130</v>
      </c>
      <c r="I47">
        <f>Online_Sales_Data[[#This Row],[Expected Revenue]]-Online_Sales_Data[[#This Row],[Total Revenue]]</f>
        <v>0</v>
      </c>
      <c r="J47" t="s">
        <v>11</v>
      </c>
      <c r="K47" t="s">
        <v>12</v>
      </c>
    </row>
    <row r="48" spans="1:11" hidden="1" x14ac:dyDescent="0.3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f>Online_Sales_Data[[#This Row],[Units Sold]]*Online_Sales_Data[[#This Row],[Unit Price]]</f>
        <v>52</v>
      </c>
      <c r="H48">
        <v>52</v>
      </c>
      <c r="I48">
        <f>Online_Sales_Data[[#This Row],[Expected Revenue]]-Online_Sales_Data[[#This Row],[Total Revenue]]</f>
        <v>0</v>
      </c>
      <c r="J48" t="s">
        <v>15</v>
      </c>
      <c r="K48" t="s">
        <v>16</v>
      </c>
    </row>
    <row r="49" spans="1:11" x14ac:dyDescent="0.3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39.99</v>
      </c>
      <c r="G49">
        <f>Online_Sales_Data[[#This Row],[Units Sold]]*Online_Sales_Data[[#This Row],[Unit Price]]</f>
        <v>239.94</v>
      </c>
      <c r="H49">
        <v>239.94</v>
      </c>
      <c r="I49">
        <f>Online_Sales_Data[[#This Row],[Expected Revenue]]-Online_Sales_Data[[#This Row],[Total Revenue]]</f>
        <v>0</v>
      </c>
      <c r="J49" t="s">
        <v>19</v>
      </c>
      <c r="K49" t="s">
        <v>12</v>
      </c>
    </row>
    <row r="50" spans="1:11" x14ac:dyDescent="0.3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129.99</v>
      </c>
      <c r="G50">
        <f>Online_Sales_Data[[#This Row],[Units Sold]]*Online_Sales_Data[[#This Row],[Unit Price]]</f>
        <v>259.98</v>
      </c>
      <c r="H50">
        <v>259.98</v>
      </c>
      <c r="I50">
        <f>Online_Sales_Data[[#This Row],[Expected Revenue]]-Online_Sales_Data[[#This Row],[Total Revenue]]</f>
        <v>0</v>
      </c>
      <c r="J50" t="s">
        <v>11</v>
      </c>
      <c r="K50" t="s">
        <v>12</v>
      </c>
    </row>
    <row r="51" spans="1:11" hidden="1" x14ac:dyDescent="0.3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299.99</v>
      </c>
      <c r="G51">
        <f>Online_Sales_Data[[#This Row],[Units Sold]]*Online_Sales_Data[[#This Row],[Unit Price]]</f>
        <v>299.99</v>
      </c>
      <c r="H51">
        <v>299.99</v>
      </c>
      <c r="I51">
        <f>Online_Sales_Data[[#This Row],[Expected Revenue]]-Online_Sales_Data[[#This Row],[Total Revenue]]</f>
        <v>0</v>
      </c>
      <c r="J51" t="s">
        <v>15</v>
      </c>
      <c r="K51" t="s">
        <v>16</v>
      </c>
    </row>
    <row r="52" spans="1:11" hidden="1" x14ac:dyDescent="0.3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154.99</v>
      </c>
      <c r="G52">
        <f>Online_Sales_Data[[#This Row],[Units Sold]]*Online_Sales_Data[[#This Row],[Unit Price]]</f>
        <v>464.97</v>
      </c>
      <c r="H52">
        <v>464.97</v>
      </c>
      <c r="I52">
        <f>Online_Sales_Data[[#This Row],[Expected Revenue]]-Online_Sales_Data[[#This Row],[Total Revenue]]</f>
        <v>0</v>
      </c>
      <c r="J52" t="s">
        <v>19</v>
      </c>
      <c r="K52" t="s">
        <v>20</v>
      </c>
    </row>
    <row r="53" spans="1:11" x14ac:dyDescent="0.3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26.99</v>
      </c>
      <c r="G53">
        <f>Online_Sales_Data[[#This Row],[Units Sold]]*Online_Sales_Data[[#This Row],[Unit Price]]</f>
        <v>53.98</v>
      </c>
      <c r="H53">
        <v>53.98</v>
      </c>
      <c r="I53">
        <f>Online_Sales_Data[[#This Row],[Expected Revenue]]-Online_Sales_Data[[#This Row],[Total Revenue]]</f>
        <v>0</v>
      </c>
      <c r="J53" t="s">
        <v>11</v>
      </c>
      <c r="K53" t="s">
        <v>12</v>
      </c>
    </row>
    <row r="54" spans="1:11" hidden="1" x14ac:dyDescent="0.3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f>Online_Sales_Data[[#This Row],[Units Sold]]*Online_Sales_Data[[#This Row],[Unit Price]]</f>
        <v>49</v>
      </c>
      <c r="H54">
        <v>49</v>
      </c>
      <c r="I54">
        <f>Online_Sales_Data[[#This Row],[Expected Revenue]]-Online_Sales_Data[[#This Row],[Total Revenue]]</f>
        <v>0</v>
      </c>
      <c r="J54" t="s">
        <v>15</v>
      </c>
      <c r="K54" t="s">
        <v>16</v>
      </c>
    </row>
    <row r="55" spans="1:11" x14ac:dyDescent="0.3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49.99</v>
      </c>
      <c r="G55">
        <f>Online_Sales_Data[[#This Row],[Units Sold]]*Online_Sales_Data[[#This Row],[Unit Price]]</f>
        <v>249.95000000000002</v>
      </c>
      <c r="H55">
        <v>249.95</v>
      </c>
      <c r="I55">
        <f>Online_Sales_Data[[#This Row],[Expected Revenue]]-Online_Sales_Data[[#This Row],[Total Revenue]]</f>
        <v>0</v>
      </c>
      <c r="J55" t="s">
        <v>19</v>
      </c>
      <c r="K55" t="s">
        <v>12</v>
      </c>
    </row>
    <row r="56" spans="1:11" x14ac:dyDescent="0.3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59.99</v>
      </c>
      <c r="G56">
        <f>Online_Sales_Data[[#This Row],[Units Sold]]*Online_Sales_Data[[#This Row],[Unit Price]]</f>
        <v>239.96</v>
      </c>
      <c r="H56">
        <v>239.96</v>
      </c>
      <c r="I56">
        <f>Online_Sales_Data[[#This Row],[Expected Revenue]]-Online_Sales_Data[[#This Row],[Total Revenue]]</f>
        <v>0</v>
      </c>
      <c r="J56" t="s">
        <v>11</v>
      </c>
      <c r="K56" t="s">
        <v>12</v>
      </c>
    </row>
    <row r="57" spans="1:11" hidden="1" x14ac:dyDescent="0.3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499.99</v>
      </c>
      <c r="G57">
        <f>Online_Sales_Data[[#This Row],[Units Sold]]*Online_Sales_Data[[#This Row],[Unit Price]]</f>
        <v>499.99</v>
      </c>
      <c r="H57">
        <v>499.99</v>
      </c>
      <c r="I57">
        <f>Online_Sales_Data[[#This Row],[Expected Revenue]]-Online_Sales_Data[[#This Row],[Total Revenue]]</f>
        <v>0</v>
      </c>
      <c r="J57" t="s">
        <v>15</v>
      </c>
      <c r="K57" t="s">
        <v>16</v>
      </c>
    </row>
    <row r="58" spans="1:11" hidden="1" x14ac:dyDescent="0.3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29.99</v>
      </c>
      <c r="G58">
        <f>Online_Sales_Data[[#This Row],[Units Sold]]*Online_Sales_Data[[#This Row],[Unit Price]]</f>
        <v>149.94999999999999</v>
      </c>
      <c r="H58">
        <v>149.94999999999999</v>
      </c>
      <c r="I58">
        <f>Online_Sales_Data[[#This Row],[Expected Revenue]]-Online_Sales_Data[[#This Row],[Total Revenue]]</f>
        <v>0</v>
      </c>
      <c r="J58" t="s">
        <v>19</v>
      </c>
      <c r="K58" t="s">
        <v>20</v>
      </c>
    </row>
    <row r="59" spans="1:11" x14ac:dyDescent="0.3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f>Online_Sales_Data[[#This Row],[Units Sold]]*Online_Sales_Data[[#This Row],[Unit Price]]</f>
        <v>84</v>
      </c>
      <c r="H59">
        <v>84</v>
      </c>
      <c r="I59">
        <f>Online_Sales_Data[[#This Row],[Expected Revenue]]-Online_Sales_Data[[#This Row],[Total Revenue]]</f>
        <v>0</v>
      </c>
      <c r="J59" t="s">
        <v>11</v>
      </c>
      <c r="K59" t="s">
        <v>12</v>
      </c>
    </row>
    <row r="60" spans="1:11" hidden="1" x14ac:dyDescent="0.3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f>Online_Sales_Data[[#This Row],[Units Sold]]*Online_Sales_Data[[#This Row],[Unit Price]]</f>
        <v>46</v>
      </c>
      <c r="H60">
        <v>46</v>
      </c>
      <c r="I60">
        <f>Online_Sales_Data[[#This Row],[Expected Revenue]]-Online_Sales_Data[[#This Row],[Total Revenue]]</f>
        <v>0</v>
      </c>
      <c r="J60" t="s">
        <v>15</v>
      </c>
      <c r="K60" t="s">
        <v>16</v>
      </c>
    </row>
    <row r="61" spans="1:11" x14ac:dyDescent="0.3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f>Online_Sales_Data[[#This Row],[Units Sold]]*Online_Sales_Data[[#This Row],[Unit Price]]</f>
        <v>349</v>
      </c>
      <c r="H61">
        <v>349</v>
      </c>
      <c r="I61">
        <f>Online_Sales_Data[[#This Row],[Expected Revenue]]-Online_Sales_Data[[#This Row],[Total Revenue]]</f>
        <v>0</v>
      </c>
      <c r="J61" t="s">
        <v>19</v>
      </c>
      <c r="K61" t="s">
        <v>12</v>
      </c>
    </row>
    <row r="62" spans="1:11" x14ac:dyDescent="0.3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299.99</v>
      </c>
      <c r="G62">
        <f>Online_Sales_Data[[#This Row],[Units Sold]]*Online_Sales_Data[[#This Row],[Unit Price]]</f>
        <v>899.97</v>
      </c>
      <c r="H62">
        <v>899.97</v>
      </c>
      <c r="I62">
        <f>Online_Sales_Data[[#This Row],[Expected Revenue]]-Online_Sales_Data[[#This Row],[Total Revenue]]</f>
        <v>0</v>
      </c>
      <c r="J62" t="s">
        <v>11</v>
      </c>
      <c r="K62" t="s">
        <v>12</v>
      </c>
    </row>
    <row r="63" spans="1:11" hidden="1" x14ac:dyDescent="0.3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199.99</v>
      </c>
      <c r="G63">
        <f>Online_Sales_Data[[#This Row],[Units Sold]]*Online_Sales_Data[[#This Row],[Unit Price]]</f>
        <v>399.98</v>
      </c>
      <c r="H63">
        <v>399.98</v>
      </c>
      <c r="I63">
        <f>Online_Sales_Data[[#This Row],[Expected Revenue]]-Online_Sales_Data[[#This Row],[Total Revenue]]</f>
        <v>0</v>
      </c>
      <c r="J63" t="s">
        <v>15</v>
      </c>
      <c r="K63" t="s">
        <v>16</v>
      </c>
    </row>
    <row r="64" spans="1:11" hidden="1" x14ac:dyDescent="0.3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9.99</v>
      </c>
      <c r="G64">
        <f>Online_Sales_Data[[#This Row],[Units Sold]]*Online_Sales_Data[[#This Row],[Unit Price]]</f>
        <v>99.9</v>
      </c>
      <c r="H64">
        <v>99.9</v>
      </c>
      <c r="I64">
        <f>Online_Sales_Data[[#This Row],[Expected Revenue]]-Online_Sales_Data[[#This Row],[Total Revenue]]</f>
        <v>0</v>
      </c>
      <c r="J64" t="s">
        <v>19</v>
      </c>
      <c r="K64" t="s">
        <v>20</v>
      </c>
    </row>
    <row r="65" spans="1:11" x14ac:dyDescent="0.3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18.989999999999998</v>
      </c>
      <c r="G65">
        <f>Online_Sales_Data[[#This Row],[Units Sold]]*Online_Sales_Data[[#This Row],[Unit Price]]</f>
        <v>75.959999999999994</v>
      </c>
      <c r="H65">
        <v>75.959999999999994</v>
      </c>
      <c r="I65">
        <f>Online_Sales_Data[[#This Row],[Expected Revenue]]-Online_Sales_Data[[#This Row],[Total Revenue]]</f>
        <v>0</v>
      </c>
      <c r="J65" t="s">
        <v>11</v>
      </c>
      <c r="K65" t="s">
        <v>12</v>
      </c>
    </row>
    <row r="66" spans="1:11" hidden="1" x14ac:dyDescent="0.3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f>Online_Sales_Data[[#This Row],[Units Sold]]*Online_Sales_Data[[#This Row],[Unit Price]]</f>
        <v>102</v>
      </c>
      <c r="H66">
        <v>102</v>
      </c>
      <c r="I66">
        <f>Online_Sales_Data[[#This Row],[Expected Revenue]]-Online_Sales_Data[[#This Row],[Total Revenue]]</f>
        <v>0</v>
      </c>
      <c r="J66" t="s">
        <v>15</v>
      </c>
      <c r="K66" t="s">
        <v>16</v>
      </c>
    </row>
    <row r="67" spans="1:11" x14ac:dyDescent="0.3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299.99</v>
      </c>
      <c r="G67">
        <f>Online_Sales_Data[[#This Row],[Units Sold]]*Online_Sales_Data[[#This Row],[Unit Price]]</f>
        <v>599.98</v>
      </c>
      <c r="H67">
        <v>599.98</v>
      </c>
      <c r="I67">
        <f>Online_Sales_Data[[#This Row],[Expected Revenue]]-Online_Sales_Data[[#This Row],[Total Revenue]]</f>
        <v>0</v>
      </c>
      <c r="J67" t="s">
        <v>19</v>
      </c>
      <c r="K67" t="s">
        <v>12</v>
      </c>
    </row>
    <row r="68" spans="1:11" x14ac:dyDescent="0.3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1199.99</v>
      </c>
      <c r="G68">
        <f>Online_Sales_Data[[#This Row],[Units Sold]]*Online_Sales_Data[[#This Row],[Unit Price]]</f>
        <v>1199.99</v>
      </c>
      <c r="H68">
        <v>1199.99</v>
      </c>
      <c r="I68">
        <f>Online_Sales_Data[[#This Row],[Expected Revenue]]-Online_Sales_Data[[#This Row],[Total Revenue]]</f>
        <v>0</v>
      </c>
      <c r="J68" t="s">
        <v>11</v>
      </c>
      <c r="K68" t="s">
        <v>12</v>
      </c>
    </row>
    <row r="69" spans="1:11" hidden="1" x14ac:dyDescent="0.3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219.99</v>
      </c>
      <c r="G69">
        <f>Online_Sales_Data[[#This Row],[Units Sold]]*Online_Sales_Data[[#This Row],[Unit Price]]</f>
        <v>659.97</v>
      </c>
      <c r="H69">
        <v>659.97</v>
      </c>
      <c r="I69">
        <f>Online_Sales_Data[[#This Row],[Expected Revenue]]-Online_Sales_Data[[#This Row],[Total Revenue]]</f>
        <v>0</v>
      </c>
      <c r="J69" t="s">
        <v>15</v>
      </c>
      <c r="K69" t="s">
        <v>16</v>
      </c>
    </row>
    <row r="70" spans="1:11" hidden="1" x14ac:dyDescent="0.3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59.99</v>
      </c>
      <c r="G70">
        <f>Online_Sales_Data[[#This Row],[Units Sold]]*Online_Sales_Data[[#This Row],[Unit Price]]</f>
        <v>239.96</v>
      </c>
      <c r="H70">
        <v>239.96</v>
      </c>
      <c r="I70">
        <f>Online_Sales_Data[[#This Row],[Expected Revenue]]-Online_Sales_Data[[#This Row],[Total Revenue]]</f>
        <v>0</v>
      </c>
      <c r="J70" t="s">
        <v>19</v>
      </c>
      <c r="K70" t="s">
        <v>20</v>
      </c>
    </row>
    <row r="71" spans="1:11" x14ac:dyDescent="0.3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10.99</v>
      </c>
      <c r="G71">
        <f>Online_Sales_Data[[#This Row],[Units Sold]]*Online_Sales_Data[[#This Row],[Unit Price]]</f>
        <v>21.98</v>
      </c>
      <c r="H71">
        <v>21.98</v>
      </c>
      <c r="I71">
        <f>Online_Sales_Data[[#This Row],[Expected Revenue]]-Online_Sales_Data[[#This Row],[Total Revenue]]</f>
        <v>0</v>
      </c>
      <c r="J71" t="s">
        <v>11</v>
      </c>
      <c r="K71" t="s">
        <v>12</v>
      </c>
    </row>
    <row r="72" spans="1:11" hidden="1" x14ac:dyDescent="0.3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f>Online_Sales_Data[[#This Row],[Units Sold]]*Online_Sales_Data[[#This Row],[Unit Price]]</f>
        <v>78</v>
      </c>
      <c r="H72">
        <v>78</v>
      </c>
      <c r="I72">
        <f>Online_Sales_Data[[#This Row],[Expected Revenue]]-Online_Sales_Data[[#This Row],[Total Revenue]]</f>
        <v>0</v>
      </c>
      <c r="J72" t="s">
        <v>15</v>
      </c>
      <c r="K72" t="s">
        <v>16</v>
      </c>
    </row>
    <row r="73" spans="1:11" x14ac:dyDescent="0.3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129.99</v>
      </c>
      <c r="G73">
        <f>Online_Sales_Data[[#This Row],[Units Sold]]*Online_Sales_Data[[#This Row],[Unit Price]]</f>
        <v>389.97</v>
      </c>
      <c r="H73">
        <v>389.97</v>
      </c>
      <c r="I73">
        <f>Online_Sales_Data[[#This Row],[Expected Revenue]]-Online_Sales_Data[[#This Row],[Total Revenue]]</f>
        <v>0</v>
      </c>
      <c r="J73" t="s">
        <v>19</v>
      </c>
      <c r="K73" t="s">
        <v>12</v>
      </c>
    </row>
    <row r="74" spans="1:11" x14ac:dyDescent="0.3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1599.99</v>
      </c>
      <c r="G74">
        <f>Online_Sales_Data[[#This Row],[Units Sold]]*Online_Sales_Data[[#This Row],[Unit Price]]</f>
        <v>1599.99</v>
      </c>
      <c r="H74">
        <v>1599.99</v>
      </c>
      <c r="I74">
        <f>Online_Sales_Data[[#This Row],[Expected Revenue]]-Online_Sales_Data[[#This Row],[Total Revenue]]</f>
        <v>0</v>
      </c>
      <c r="J74" t="s">
        <v>11</v>
      </c>
      <c r="K74" t="s">
        <v>12</v>
      </c>
    </row>
    <row r="75" spans="1:11" hidden="1" x14ac:dyDescent="0.3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899.99</v>
      </c>
      <c r="G75">
        <f>Online_Sales_Data[[#This Row],[Units Sold]]*Online_Sales_Data[[#This Row],[Unit Price]]</f>
        <v>899.99</v>
      </c>
      <c r="H75">
        <v>899.99</v>
      </c>
      <c r="I75">
        <f>Online_Sales_Data[[#This Row],[Expected Revenue]]-Online_Sales_Data[[#This Row],[Total Revenue]]</f>
        <v>0</v>
      </c>
      <c r="J75" t="s">
        <v>15</v>
      </c>
      <c r="K75" t="s">
        <v>16</v>
      </c>
    </row>
    <row r="76" spans="1:11" hidden="1" x14ac:dyDescent="0.3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49.99</v>
      </c>
      <c r="G76">
        <f>Online_Sales_Data[[#This Row],[Units Sold]]*Online_Sales_Data[[#This Row],[Unit Price]]</f>
        <v>249.95000000000002</v>
      </c>
      <c r="H76">
        <v>249.95</v>
      </c>
      <c r="I76">
        <f>Online_Sales_Data[[#This Row],[Expected Revenue]]-Online_Sales_Data[[#This Row],[Total Revenue]]</f>
        <v>0</v>
      </c>
      <c r="J76" t="s">
        <v>19</v>
      </c>
      <c r="K76" t="s">
        <v>20</v>
      </c>
    </row>
    <row r="77" spans="1:11" x14ac:dyDescent="0.3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14.99</v>
      </c>
      <c r="G77">
        <f>Online_Sales_Data[[#This Row],[Units Sold]]*Online_Sales_Data[[#This Row],[Unit Price]]</f>
        <v>59.96</v>
      </c>
      <c r="H77">
        <v>59.96</v>
      </c>
      <c r="I77">
        <f>Online_Sales_Data[[#This Row],[Expected Revenue]]-Online_Sales_Data[[#This Row],[Total Revenue]]</f>
        <v>0</v>
      </c>
      <c r="J77" t="s">
        <v>11</v>
      </c>
      <c r="K77" t="s">
        <v>12</v>
      </c>
    </row>
    <row r="78" spans="1:11" hidden="1" x14ac:dyDescent="0.3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f>Online_Sales_Data[[#This Row],[Units Sold]]*Online_Sales_Data[[#This Row],[Unit Price]]</f>
        <v>32</v>
      </c>
      <c r="H78">
        <v>32</v>
      </c>
      <c r="I78">
        <f>Online_Sales_Data[[#This Row],[Expected Revenue]]-Online_Sales_Data[[#This Row],[Total Revenue]]</f>
        <v>0</v>
      </c>
      <c r="J78" t="s">
        <v>15</v>
      </c>
      <c r="K78" t="s">
        <v>16</v>
      </c>
    </row>
    <row r="79" spans="1:11" x14ac:dyDescent="0.3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69.989999999999995</v>
      </c>
      <c r="G79">
        <f>Online_Sales_Data[[#This Row],[Units Sold]]*Online_Sales_Data[[#This Row],[Unit Price]]</f>
        <v>209.96999999999997</v>
      </c>
      <c r="H79">
        <v>209.97</v>
      </c>
      <c r="I79">
        <f>Online_Sales_Data[[#This Row],[Expected Revenue]]-Online_Sales_Data[[#This Row],[Total Revenue]]</f>
        <v>0</v>
      </c>
      <c r="J79" t="s">
        <v>19</v>
      </c>
      <c r="K79" t="s">
        <v>12</v>
      </c>
    </row>
    <row r="80" spans="1:11" x14ac:dyDescent="0.3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249.99</v>
      </c>
      <c r="G80">
        <f>Online_Sales_Data[[#This Row],[Units Sold]]*Online_Sales_Data[[#This Row],[Unit Price]]</f>
        <v>499.98</v>
      </c>
      <c r="H80">
        <v>499.98</v>
      </c>
      <c r="I80">
        <f>Online_Sales_Data[[#This Row],[Expected Revenue]]-Online_Sales_Data[[#This Row],[Total Revenue]]</f>
        <v>0</v>
      </c>
      <c r="J80" t="s">
        <v>11</v>
      </c>
      <c r="K80" t="s">
        <v>12</v>
      </c>
    </row>
    <row r="81" spans="1:11" hidden="1" x14ac:dyDescent="0.3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499.99</v>
      </c>
      <c r="G81">
        <f>Online_Sales_Data[[#This Row],[Units Sold]]*Online_Sales_Data[[#This Row],[Unit Price]]</f>
        <v>499.99</v>
      </c>
      <c r="H81">
        <v>499.99</v>
      </c>
      <c r="I81">
        <f>Online_Sales_Data[[#This Row],[Expected Revenue]]-Online_Sales_Data[[#This Row],[Total Revenue]]</f>
        <v>0</v>
      </c>
      <c r="J81" t="s">
        <v>15</v>
      </c>
      <c r="K81" t="s">
        <v>16</v>
      </c>
    </row>
    <row r="82" spans="1:11" hidden="1" x14ac:dyDescent="0.3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89.99</v>
      </c>
      <c r="G82">
        <f>Online_Sales_Data[[#This Row],[Units Sold]]*Online_Sales_Data[[#This Row],[Unit Price]]</f>
        <v>179.98</v>
      </c>
      <c r="H82">
        <v>179.98</v>
      </c>
      <c r="I82">
        <f>Online_Sales_Data[[#This Row],[Expected Revenue]]-Online_Sales_Data[[#This Row],[Total Revenue]]</f>
        <v>0</v>
      </c>
      <c r="J82" t="s">
        <v>19</v>
      </c>
      <c r="K82" t="s">
        <v>20</v>
      </c>
    </row>
    <row r="83" spans="1:11" x14ac:dyDescent="0.3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12.99</v>
      </c>
      <c r="G83">
        <f>Online_Sales_Data[[#This Row],[Units Sold]]*Online_Sales_Data[[#This Row],[Unit Price]]</f>
        <v>38.97</v>
      </c>
      <c r="H83">
        <v>38.97</v>
      </c>
      <c r="I83">
        <f>Online_Sales_Data[[#This Row],[Expected Revenue]]-Online_Sales_Data[[#This Row],[Total Revenue]]</f>
        <v>0</v>
      </c>
      <c r="J83" t="s">
        <v>11</v>
      </c>
      <c r="K83" t="s">
        <v>12</v>
      </c>
    </row>
    <row r="84" spans="1:11" hidden="1" x14ac:dyDescent="0.3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f>Online_Sales_Data[[#This Row],[Units Sold]]*Online_Sales_Data[[#This Row],[Unit Price]]</f>
        <v>100</v>
      </c>
      <c r="H84">
        <v>100</v>
      </c>
      <c r="I84">
        <f>Online_Sales_Data[[#This Row],[Expected Revenue]]-Online_Sales_Data[[#This Row],[Total Revenue]]</f>
        <v>0</v>
      </c>
      <c r="J84" t="s">
        <v>15</v>
      </c>
      <c r="K84" t="s">
        <v>16</v>
      </c>
    </row>
    <row r="85" spans="1:11" x14ac:dyDescent="0.3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24.99</v>
      </c>
      <c r="G85">
        <f>Online_Sales_Data[[#This Row],[Units Sold]]*Online_Sales_Data[[#This Row],[Unit Price]]</f>
        <v>149.94</v>
      </c>
      <c r="H85">
        <v>149.94</v>
      </c>
      <c r="I85">
        <f>Online_Sales_Data[[#This Row],[Expected Revenue]]-Online_Sales_Data[[#This Row],[Total Revenue]]</f>
        <v>0</v>
      </c>
      <c r="J85" t="s">
        <v>19</v>
      </c>
      <c r="K85" t="s">
        <v>12</v>
      </c>
    </row>
    <row r="86" spans="1:11" x14ac:dyDescent="0.3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99.99</v>
      </c>
      <c r="G86">
        <f>Online_Sales_Data[[#This Row],[Units Sold]]*Online_Sales_Data[[#This Row],[Unit Price]]</f>
        <v>99.99</v>
      </c>
      <c r="H86">
        <v>99.99</v>
      </c>
      <c r="I86">
        <f>Online_Sales_Data[[#This Row],[Expected Revenue]]-Online_Sales_Data[[#This Row],[Total Revenue]]</f>
        <v>0</v>
      </c>
      <c r="J86" t="s">
        <v>11</v>
      </c>
      <c r="K86" t="s">
        <v>12</v>
      </c>
    </row>
    <row r="87" spans="1:11" hidden="1" x14ac:dyDescent="0.3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1299.99</v>
      </c>
      <c r="G87">
        <f>Online_Sales_Data[[#This Row],[Units Sold]]*Online_Sales_Data[[#This Row],[Unit Price]]</f>
        <v>2599.98</v>
      </c>
      <c r="H87">
        <v>2599.98</v>
      </c>
      <c r="I87">
        <f>Online_Sales_Data[[#This Row],[Expected Revenue]]-Online_Sales_Data[[#This Row],[Total Revenue]]</f>
        <v>0</v>
      </c>
      <c r="J87" t="s">
        <v>15</v>
      </c>
      <c r="K87" t="s">
        <v>16</v>
      </c>
    </row>
    <row r="88" spans="1:11" hidden="1" x14ac:dyDescent="0.3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79.989999999999995</v>
      </c>
      <c r="G88">
        <f>Online_Sales_Data[[#This Row],[Units Sold]]*Online_Sales_Data[[#This Row],[Unit Price]]</f>
        <v>239.96999999999997</v>
      </c>
      <c r="H88">
        <v>239.97</v>
      </c>
      <c r="I88">
        <f>Online_Sales_Data[[#This Row],[Expected Revenue]]-Online_Sales_Data[[#This Row],[Total Revenue]]</f>
        <v>0</v>
      </c>
      <c r="J88" t="s">
        <v>19</v>
      </c>
      <c r="K88" t="s">
        <v>20</v>
      </c>
    </row>
    <row r="89" spans="1:11" x14ac:dyDescent="0.3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13.99</v>
      </c>
      <c r="G89">
        <f>Online_Sales_Data[[#This Row],[Units Sold]]*Online_Sales_Data[[#This Row],[Unit Price]]</f>
        <v>55.96</v>
      </c>
      <c r="H89">
        <v>55.96</v>
      </c>
      <c r="I89">
        <f>Online_Sales_Data[[#This Row],[Expected Revenue]]-Online_Sales_Data[[#This Row],[Total Revenue]]</f>
        <v>0</v>
      </c>
      <c r="J89" t="s">
        <v>11</v>
      </c>
      <c r="K89" t="s">
        <v>12</v>
      </c>
    </row>
    <row r="90" spans="1:11" hidden="1" x14ac:dyDescent="0.3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f>Online_Sales_Data[[#This Row],[Units Sold]]*Online_Sales_Data[[#This Row],[Unit Price]]</f>
        <v>105</v>
      </c>
      <c r="H90">
        <v>105</v>
      </c>
      <c r="I90">
        <f>Online_Sales_Data[[#This Row],[Expected Revenue]]-Online_Sales_Data[[#This Row],[Total Revenue]]</f>
        <v>0</v>
      </c>
      <c r="J90" t="s">
        <v>15</v>
      </c>
      <c r="K90" t="s">
        <v>16</v>
      </c>
    </row>
    <row r="91" spans="1:11" x14ac:dyDescent="0.3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129.99</v>
      </c>
      <c r="G91">
        <f>Online_Sales_Data[[#This Row],[Units Sold]]*Online_Sales_Data[[#This Row],[Unit Price]]</f>
        <v>259.98</v>
      </c>
      <c r="H91">
        <v>259.98</v>
      </c>
      <c r="I91">
        <f>Online_Sales_Data[[#This Row],[Expected Revenue]]-Online_Sales_Data[[#This Row],[Total Revenue]]</f>
        <v>0</v>
      </c>
      <c r="J91" t="s">
        <v>19</v>
      </c>
      <c r="K91" t="s">
        <v>12</v>
      </c>
    </row>
    <row r="92" spans="1:11" x14ac:dyDescent="0.3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99.99</v>
      </c>
      <c r="G92">
        <f>Online_Sales_Data[[#This Row],[Units Sold]]*Online_Sales_Data[[#This Row],[Unit Price]]</f>
        <v>199.98</v>
      </c>
      <c r="H92">
        <v>199.98</v>
      </c>
      <c r="I92">
        <f>Online_Sales_Data[[#This Row],[Expected Revenue]]-Online_Sales_Data[[#This Row],[Total Revenue]]</f>
        <v>0</v>
      </c>
      <c r="J92" t="s">
        <v>11</v>
      </c>
      <c r="K92" t="s">
        <v>12</v>
      </c>
    </row>
    <row r="93" spans="1:11" hidden="1" x14ac:dyDescent="0.3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179.99</v>
      </c>
      <c r="G93">
        <f>Online_Sales_Data[[#This Row],[Units Sold]]*Online_Sales_Data[[#This Row],[Unit Price]]</f>
        <v>179.99</v>
      </c>
      <c r="H93">
        <v>179.99</v>
      </c>
      <c r="I93">
        <f>Online_Sales_Data[[#This Row],[Expected Revenue]]-Online_Sales_Data[[#This Row],[Total Revenue]]</f>
        <v>0</v>
      </c>
      <c r="J93" t="s">
        <v>15</v>
      </c>
      <c r="K93" t="s">
        <v>16</v>
      </c>
    </row>
    <row r="94" spans="1:11" hidden="1" x14ac:dyDescent="0.3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79.989999999999995</v>
      </c>
      <c r="G94">
        <f>Online_Sales_Data[[#This Row],[Units Sold]]*Online_Sales_Data[[#This Row],[Unit Price]]</f>
        <v>319.95999999999998</v>
      </c>
      <c r="H94">
        <v>319.95999999999998</v>
      </c>
      <c r="I94">
        <f>Online_Sales_Data[[#This Row],[Expected Revenue]]-Online_Sales_Data[[#This Row],[Total Revenue]]</f>
        <v>0</v>
      </c>
      <c r="J94" t="s">
        <v>19</v>
      </c>
      <c r="K94" t="s">
        <v>20</v>
      </c>
    </row>
    <row r="95" spans="1:11" x14ac:dyDescent="0.3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14.99</v>
      </c>
      <c r="G95">
        <f>Online_Sales_Data[[#This Row],[Units Sold]]*Online_Sales_Data[[#This Row],[Unit Price]]</f>
        <v>44.97</v>
      </c>
      <c r="H95">
        <v>44.97</v>
      </c>
      <c r="I95">
        <f>Online_Sales_Data[[#This Row],[Expected Revenue]]-Online_Sales_Data[[#This Row],[Total Revenue]]</f>
        <v>0</v>
      </c>
      <c r="J95" t="s">
        <v>11</v>
      </c>
      <c r="K95" t="s">
        <v>12</v>
      </c>
    </row>
    <row r="96" spans="1:11" hidden="1" x14ac:dyDescent="0.3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f>Online_Sales_Data[[#This Row],[Units Sold]]*Online_Sales_Data[[#This Row],[Unit Price]]</f>
        <v>68</v>
      </c>
      <c r="H96">
        <v>68</v>
      </c>
      <c r="I96">
        <f>Online_Sales_Data[[#This Row],[Expected Revenue]]-Online_Sales_Data[[#This Row],[Total Revenue]]</f>
        <v>0</v>
      </c>
      <c r="J96" t="s">
        <v>15</v>
      </c>
      <c r="K96" t="s">
        <v>16</v>
      </c>
    </row>
    <row r="97" spans="1:11" x14ac:dyDescent="0.3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999.99</v>
      </c>
      <c r="G97">
        <f>Online_Sales_Data[[#This Row],[Units Sold]]*Online_Sales_Data[[#This Row],[Unit Price]]</f>
        <v>999.99</v>
      </c>
      <c r="H97">
        <v>999.99</v>
      </c>
      <c r="I97">
        <f>Online_Sales_Data[[#This Row],[Expected Revenue]]-Online_Sales_Data[[#This Row],[Total Revenue]]</f>
        <v>0</v>
      </c>
      <c r="J97" t="s">
        <v>19</v>
      </c>
      <c r="K97" t="s">
        <v>12</v>
      </c>
    </row>
    <row r="98" spans="1:11" x14ac:dyDescent="0.3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299.99</v>
      </c>
      <c r="G98">
        <f>Online_Sales_Data[[#This Row],[Units Sold]]*Online_Sales_Data[[#This Row],[Unit Price]]</f>
        <v>899.97</v>
      </c>
      <c r="H98">
        <v>899.97</v>
      </c>
      <c r="I98">
        <f>Online_Sales_Data[[#This Row],[Expected Revenue]]-Online_Sales_Data[[#This Row],[Total Revenue]]</f>
        <v>0</v>
      </c>
      <c r="J98" t="s">
        <v>11</v>
      </c>
      <c r="K98" t="s">
        <v>12</v>
      </c>
    </row>
    <row r="99" spans="1:11" hidden="1" x14ac:dyDescent="0.3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349.99</v>
      </c>
      <c r="G99">
        <f>Online_Sales_Data[[#This Row],[Units Sold]]*Online_Sales_Data[[#This Row],[Unit Price]]</f>
        <v>349.99</v>
      </c>
      <c r="H99">
        <v>349.99</v>
      </c>
      <c r="I99">
        <f>Online_Sales_Data[[#This Row],[Expected Revenue]]-Online_Sales_Data[[#This Row],[Total Revenue]]</f>
        <v>0</v>
      </c>
      <c r="J99" t="s">
        <v>15</v>
      </c>
      <c r="K99" t="s">
        <v>16</v>
      </c>
    </row>
    <row r="100" spans="1:11" hidden="1" x14ac:dyDescent="0.3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19.989999999999998</v>
      </c>
      <c r="G100">
        <f>Online_Sales_Data[[#This Row],[Units Sold]]*Online_Sales_Data[[#This Row],[Unit Price]]</f>
        <v>119.94</v>
      </c>
      <c r="H100">
        <v>119.94</v>
      </c>
      <c r="I100">
        <f>Online_Sales_Data[[#This Row],[Expected Revenue]]-Online_Sales_Data[[#This Row],[Total Revenue]]</f>
        <v>0</v>
      </c>
      <c r="J100" t="s">
        <v>19</v>
      </c>
      <c r="K100" t="s">
        <v>20</v>
      </c>
    </row>
    <row r="101" spans="1:11" x14ac:dyDescent="0.3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12.99</v>
      </c>
      <c r="G101">
        <f>Online_Sales_Data[[#This Row],[Units Sold]]*Online_Sales_Data[[#This Row],[Unit Price]]</f>
        <v>25.98</v>
      </c>
      <c r="H101">
        <v>25.98</v>
      </c>
      <c r="I101">
        <f>Online_Sales_Data[[#This Row],[Expected Revenue]]-Online_Sales_Data[[#This Row],[Total Revenue]]</f>
        <v>0</v>
      </c>
      <c r="J101" t="s">
        <v>11</v>
      </c>
      <c r="K101" t="s">
        <v>12</v>
      </c>
    </row>
    <row r="102" spans="1:11" hidden="1" x14ac:dyDescent="0.3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f>Online_Sales_Data[[#This Row],[Units Sold]]*Online_Sales_Data[[#This Row],[Unit Price]]</f>
        <v>82</v>
      </c>
      <c r="H102">
        <v>82</v>
      </c>
      <c r="I102">
        <f>Online_Sales_Data[[#This Row],[Expected Revenue]]-Online_Sales_Data[[#This Row],[Total Revenue]]</f>
        <v>0</v>
      </c>
      <c r="J102" t="s">
        <v>15</v>
      </c>
      <c r="K102" t="s">
        <v>16</v>
      </c>
    </row>
    <row r="103" spans="1:11" x14ac:dyDescent="0.3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109.99</v>
      </c>
      <c r="G103">
        <f>Online_Sales_Data[[#This Row],[Units Sold]]*Online_Sales_Data[[#This Row],[Unit Price]]</f>
        <v>219.98</v>
      </c>
      <c r="H103">
        <v>219.98</v>
      </c>
      <c r="I103">
        <f>Online_Sales_Data[[#This Row],[Expected Revenue]]-Online_Sales_Data[[#This Row],[Total Revenue]]</f>
        <v>0</v>
      </c>
      <c r="J103" t="s">
        <v>19</v>
      </c>
      <c r="K103" t="s">
        <v>12</v>
      </c>
    </row>
    <row r="104" spans="1:11" x14ac:dyDescent="0.3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3899.99</v>
      </c>
      <c r="G104">
        <f>Online_Sales_Data[[#This Row],[Units Sold]]*Online_Sales_Data[[#This Row],[Unit Price]]</f>
        <v>3899.99</v>
      </c>
      <c r="H104">
        <v>3899.99</v>
      </c>
      <c r="I104">
        <f>Online_Sales_Data[[#This Row],[Expected Revenue]]-Online_Sales_Data[[#This Row],[Total Revenue]]</f>
        <v>0</v>
      </c>
      <c r="J104" t="s">
        <v>11</v>
      </c>
      <c r="K104" t="s">
        <v>12</v>
      </c>
    </row>
    <row r="105" spans="1:11" hidden="1" x14ac:dyDescent="0.3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349.99</v>
      </c>
      <c r="G105">
        <f>Online_Sales_Data[[#This Row],[Units Sold]]*Online_Sales_Data[[#This Row],[Unit Price]]</f>
        <v>699.98</v>
      </c>
      <c r="H105">
        <v>699.98</v>
      </c>
      <c r="I105">
        <f>Online_Sales_Data[[#This Row],[Expected Revenue]]-Online_Sales_Data[[#This Row],[Total Revenue]]</f>
        <v>0</v>
      </c>
      <c r="J105" t="s">
        <v>15</v>
      </c>
      <c r="K105" t="s">
        <v>16</v>
      </c>
    </row>
    <row r="106" spans="1:11" hidden="1" x14ac:dyDescent="0.3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39.99</v>
      </c>
      <c r="G106">
        <f>Online_Sales_Data[[#This Row],[Units Sold]]*Online_Sales_Data[[#This Row],[Unit Price]]</f>
        <v>119.97</v>
      </c>
      <c r="H106">
        <v>119.97</v>
      </c>
      <c r="I106">
        <f>Online_Sales_Data[[#This Row],[Expected Revenue]]-Online_Sales_Data[[#This Row],[Total Revenue]]</f>
        <v>0</v>
      </c>
      <c r="J106" t="s">
        <v>19</v>
      </c>
      <c r="K106" t="s">
        <v>20</v>
      </c>
    </row>
    <row r="107" spans="1:11" x14ac:dyDescent="0.3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10.99</v>
      </c>
      <c r="G107">
        <f>Online_Sales_Data[[#This Row],[Units Sold]]*Online_Sales_Data[[#This Row],[Unit Price]]</f>
        <v>43.96</v>
      </c>
      <c r="H107">
        <v>43.96</v>
      </c>
      <c r="I107">
        <f>Online_Sales_Data[[#This Row],[Expected Revenue]]-Online_Sales_Data[[#This Row],[Total Revenue]]</f>
        <v>0</v>
      </c>
      <c r="J107" t="s">
        <v>11</v>
      </c>
      <c r="K107" t="s">
        <v>12</v>
      </c>
    </row>
    <row r="108" spans="1:11" hidden="1" x14ac:dyDescent="0.3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6.5</v>
      </c>
      <c r="G108">
        <f>Online_Sales_Data[[#This Row],[Units Sold]]*Online_Sales_Data[[#This Row],[Unit Price]]</f>
        <v>6.5</v>
      </c>
      <c r="H108">
        <v>6.5</v>
      </c>
      <c r="I108">
        <f>Online_Sales_Data[[#This Row],[Expected Revenue]]-Online_Sales_Data[[#This Row],[Total Revenue]]</f>
        <v>0</v>
      </c>
      <c r="J108" t="s">
        <v>15</v>
      </c>
      <c r="K108" t="s">
        <v>16</v>
      </c>
    </row>
    <row r="109" spans="1:11" x14ac:dyDescent="0.3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399.99</v>
      </c>
      <c r="G109">
        <f>Online_Sales_Data[[#This Row],[Units Sold]]*Online_Sales_Data[[#This Row],[Unit Price]]</f>
        <v>399.99</v>
      </c>
      <c r="H109">
        <v>399.99</v>
      </c>
      <c r="I109">
        <f>Online_Sales_Data[[#This Row],[Expected Revenue]]-Online_Sales_Data[[#This Row],[Total Revenue]]</f>
        <v>0</v>
      </c>
      <c r="J109" t="s">
        <v>19</v>
      </c>
      <c r="K109" t="s">
        <v>12</v>
      </c>
    </row>
    <row r="110" spans="1:11" x14ac:dyDescent="0.3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f>Online_Sales_Data[[#This Row],[Units Sold]]*Online_Sales_Data[[#This Row],[Unit Price]]</f>
        <v>459.98</v>
      </c>
      <c r="H110">
        <v>459.98</v>
      </c>
      <c r="I110">
        <f>Online_Sales_Data[[#This Row],[Expected Revenue]]-Online_Sales_Data[[#This Row],[Total Revenue]]</f>
        <v>0</v>
      </c>
      <c r="J110" t="s">
        <v>11</v>
      </c>
      <c r="K110" t="s">
        <v>12</v>
      </c>
    </row>
    <row r="111" spans="1:11" hidden="1" x14ac:dyDescent="0.3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159.99</v>
      </c>
      <c r="G111">
        <f>Online_Sales_Data[[#This Row],[Units Sold]]*Online_Sales_Data[[#This Row],[Unit Price]]</f>
        <v>159.99</v>
      </c>
      <c r="H111">
        <v>159.99</v>
      </c>
      <c r="I111">
        <f>Online_Sales_Data[[#This Row],[Expected Revenue]]-Online_Sales_Data[[#This Row],[Total Revenue]]</f>
        <v>0</v>
      </c>
      <c r="J111" t="s">
        <v>15</v>
      </c>
      <c r="K111" t="s">
        <v>16</v>
      </c>
    </row>
    <row r="112" spans="1:11" hidden="1" x14ac:dyDescent="0.3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14.99</v>
      </c>
      <c r="G112">
        <f>Online_Sales_Data[[#This Row],[Units Sold]]*Online_Sales_Data[[#This Row],[Unit Price]]</f>
        <v>59.96</v>
      </c>
      <c r="H112">
        <v>59.96</v>
      </c>
      <c r="I112">
        <f>Online_Sales_Data[[#This Row],[Expected Revenue]]-Online_Sales_Data[[#This Row],[Total Revenue]]</f>
        <v>0</v>
      </c>
      <c r="J112" t="s">
        <v>19</v>
      </c>
      <c r="K112" t="s">
        <v>20</v>
      </c>
    </row>
    <row r="113" spans="1:11" x14ac:dyDescent="0.3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18.989999999999998</v>
      </c>
      <c r="G113">
        <f>Online_Sales_Data[[#This Row],[Units Sold]]*Online_Sales_Data[[#This Row],[Unit Price]]</f>
        <v>37.979999999999997</v>
      </c>
      <c r="H113">
        <v>37.979999999999997</v>
      </c>
      <c r="I113">
        <f>Online_Sales_Data[[#This Row],[Expected Revenue]]-Online_Sales_Data[[#This Row],[Total Revenue]]</f>
        <v>0</v>
      </c>
      <c r="J113" t="s">
        <v>11</v>
      </c>
      <c r="K113" t="s">
        <v>12</v>
      </c>
    </row>
    <row r="114" spans="1:11" hidden="1" x14ac:dyDescent="0.3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f>Online_Sales_Data[[#This Row],[Units Sold]]*Online_Sales_Data[[#This Row],[Unit Price]]</f>
        <v>15</v>
      </c>
      <c r="H114">
        <v>15</v>
      </c>
      <c r="I114">
        <f>Online_Sales_Data[[#This Row],[Expected Revenue]]-Online_Sales_Data[[#This Row],[Total Revenue]]</f>
        <v>0</v>
      </c>
      <c r="J114" t="s">
        <v>15</v>
      </c>
      <c r="K114" t="s">
        <v>16</v>
      </c>
    </row>
    <row r="115" spans="1:11" x14ac:dyDescent="0.3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229.95</v>
      </c>
      <c r="G115">
        <f>Online_Sales_Data[[#This Row],[Units Sold]]*Online_Sales_Data[[#This Row],[Unit Price]]</f>
        <v>689.84999999999991</v>
      </c>
      <c r="H115">
        <v>689.85</v>
      </c>
      <c r="I115">
        <f>Online_Sales_Data[[#This Row],[Expected Revenue]]-Online_Sales_Data[[#This Row],[Total Revenue]]</f>
        <v>0</v>
      </c>
      <c r="J115" t="s">
        <v>19</v>
      </c>
      <c r="K115" t="s">
        <v>12</v>
      </c>
    </row>
    <row r="116" spans="1:11" x14ac:dyDescent="0.3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249.99</v>
      </c>
      <c r="G116">
        <f>Online_Sales_Data[[#This Row],[Units Sold]]*Online_Sales_Data[[#This Row],[Unit Price]]</f>
        <v>249.99</v>
      </c>
      <c r="H116">
        <v>249.99</v>
      </c>
      <c r="I116">
        <f>Online_Sales_Data[[#This Row],[Expected Revenue]]-Online_Sales_Data[[#This Row],[Total Revenue]]</f>
        <v>0</v>
      </c>
      <c r="J116" t="s">
        <v>11</v>
      </c>
      <c r="K116" t="s">
        <v>12</v>
      </c>
    </row>
    <row r="117" spans="1:11" hidden="1" x14ac:dyDescent="0.3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299.95</v>
      </c>
      <c r="G117">
        <f>Online_Sales_Data[[#This Row],[Units Sold]]*Online_Sales_Data[[#This Row],[Unit Price]]</f>
        <v>599.9</v>
      </c>
      <c r="H117">
        <v>599.9</v>
      </c>
      <c r="I117">
        <f>Online_Sales_Data[[#This Row],[Expected Revenue]]-Online_Sales_Data[[#This Row],[Total Revenue]]</f>
        <v>0</v>
      </c>
      <c r="J117" t="s">
        <v>15</v>
      </c>
      <c r="K117" t="s">
        <v>16</v>
      </c>
    </row>
    <row r="118" spans="1:11" hidden="1" x14ac:dyDescent="0.3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49.99</v>
      </c>
      <c r="G118">
        <f>Online_Sales_Data[[#This Row],[Units Sold]]*Online_Sales_Data[[#This Row],[Unit Price]]</f>
        <v>149.97</v>
      </c>
      <c r="H118">
        <v>149.97</v>
      </c>
      <c r="I118">
        <f>Online_Sales_Data[[#This Row],[Expected Revenue]]-Online_Sales_Data[[#This Row],[Total Revenue]]</f>
        <v>0</v>
      </c>
      <c r="J118" t="s">
        <v>19</v>
      </c>
      <c r="K118" t="s">
        <v>20</v>
      </c>
    </row>
    <row r="119" spans="1:11" x14ac:dyDescent="0.3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16.989999999999998</v>
      </c>
      <c r="G119">
        <f>Online_Sales_Data[[#This Row],[Units Sold]]*Online_Sales_Data[[#This Row],[Unit Price]]</f>
        <v>67.959999999999994</v>
      </c>
      <c r="H119">
        <v>67.959999999999994</v>
      </c>
      <c r="I119">
        <f>Online_Sales_Data[[#This Row],[Expected Revenue]]-Online_Sales_Data[[#This Row],[Total Revenue]]</f>
        <v>0</v>
      </c>
      <c r="J119" t="s">
        <v>11</v>
      </c>
      <c r="K119" t="s">
        <v>12</v>
      </c>
    </row>
    <row r="120" spans="1:11" hidden="1" x14ac:dyDescent="0.3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14.99</v>
      </c>
      <c r="G120">
        <f>Online_Sales_Data[[#This Row],[Units Sold]]*Online_Sales_Data[[#This Row],[Unit Price]]</f>
        <v>29.98</v>
      </c>
      <c r="H120">
        <v>29.98</v>
      </c>
      <c r="I120">
        <f>Online_Sales_Data[[#This Row],[Expected Revenue]]-Online_Sales_Data[[#This Row],[Total Revenue]]</f>
        <v>0</v>
      </c>
      <c r="J120" t="s">
        <v>15</v>
      </c>
      <c r="K120" t="s">
        <v>16</v>
      </c>
    </row>
    <row r="121" spans="1:11" x14ac:dyDescent="0.3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249.99</v>
      </c>
      <c r="G121">
        <f>Online_Sales_Data[[#This Row],[Units Sold]]*Online_Sales_Data[[#This Row],[Unit Price]]</f>
        <v>249.99</v>
      </c>
      <c r="H121">
        <v>249.99</v>
      </c>
      <c r="I121">
        <f>Online_Sales_Data[[#This Row],[Expected Revenue]]-Online_Sales_Data[[#This Row],[Total Revenue]]</f>
        <v>0</v>
      </c>
      <c r="J121" t="s">
        <v>19</v>
      </c>
      <c r="K121" t="s">
        <v>12</v>
      </c>
    </row>
    <row r="122" spans="1:11" x14ac:dyDescent="0.3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599.99</v>
      </c>
      <c r="G122">
        <f>Online_Sales_Data[[#This Row],[Units Sold]]*Online_Sales_Data[[#This Row],[Unit Price]]</f>
        <v>1199.98</v>
      </c>
      <c r="H122">
        <v>1199.98</v>
      </c>
      <c r="I122">
        <f>Online_Sales_Data[[#This Row],[Expected Revenue]]-Online_Sales_Data[[#This Row],[Total Revenue]]</f>
        <v>0</v>
      </c>
      <c r="J122" t="s">
        <v>11</v>
      </c>
      <c r="K122" t="s">
        <v>12</v>
      </c>
    </row>
    <row r="123" spans="1:11" hidden="1" x14ac:dyDescent="0.3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89.99</v>
      </c>
      <c r="G123">
        <f>Online_Sales_Data[[#This Row],[Units Sold]]*Online_Sales_Data[[#This Row],[Unit Price]]</f>
        <v>89.99</v>
      </c>
      <c r="H123">
        <v>89.99</v>
      </c>
      <c r="I123">
        <f>Online_Sales_Data[[#This Row],[Expected Revenue]]-Online_Sales_Data[[#This Row],[Total Revenue]]</f>
        <v>0</v>
      </c>
      <c r="J123" t="s">
        <v>15</v>
      </c>
      <c r="K123" t="s">
        <v>16</v>
      </c>
    </row>
    <row r="124" spans="1:11" hidden="1" x14ac:dyDescent="0.3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12.99</v>
      </c>
      <c r="G124">
        <f>Online_Sales_Data[[#This Row],[Units Sold]]*Online_Sales_Data[[#This Row],[Unit Price]]</f>
        <v>64.95</v>
      </c>
      <c r="H124">
        <v>64.95</v>
      </c>
      <c r="I124">
        <f>Online_Sales_Data[[#This Row],[Expected Revenue]]-Online_Sales_Data[[#This Row],[Total Revenue]]</f>
        <v>0</v>
      </c>
      <c r="J124" t="s">
        <v>19</v>
      </c>
      <c r="K124" t="s">
        <v>20</v>
      </c>
    </row>
    <row r="125" spans="1:11" x14ac:dyDescent="0.3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14.99</v>
      </c>
      <c r="G125">
        <f>Online_Sales_Data[[#This Row],[Units Sold]]*Online_Sales_Data[[#This Row],[Unit Price]]</f>
        <v>44.97</v>
      </c>
      <c r="H125">
        <v>44.97</v>
      </c>
      <c r="I125">
        <f>Online_Sales_Data[[#This Row],[Expected Revenue]]-Online_Sales_Data[[#This Row],[Total Revenue]]</f>
        <v>0</v>
      </c>
      <c r="J125" t="s">
        <v>11</v>
      </c>
      <c r="K125" t="s">
        <v>12</v>
      </c>
    </row>
    <row r="126" spans="1:11" hidden="1" x14ac:dyDescent="0.3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f>Online_Sales_Data[[#This Row],[Units Sold]]*Online_Sales_Data[[#This Row],[Unit Price]]</f>
        <v>30</v>
      </c>
      <c r="H126">
        <v>30</v>
      </c>
      <c r="I126">
        <f>Online_Sales_Data[[#This Row],[Expected Revenue]]-Online_Sales_Data[[#This Row],[Total Revenue]]</f>
        <v>0</v>
      </c>
      <c r="J126" t="s">
        <v>15</v>
      </c>
      <c r="K126" t="s">
        <v>16</v>
      </c>
    </row>
    <row r="127" spans="1:11" x14ac:dyDescent="0.3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199.99</v>
      </c>
      <c r="G127">
        <f>Online_Sales_Data[[#This Row],[Units Sold]]*Online_Sales_Data[[#This Row],[Unit Price]]</f>
        <v>199.99</v>
      </c>
      <c r="H127">
        <v>199.99</v>
      </c>
      <c r="I127">
        <f>Online_Sales_Data[[#This Row],[Expected Revenue]]-Online_Sales_Data[[#This Row],[Total Revenue]]</f>
        <v>0</v>
      </c>
      <c r="J127" t="s">
        <v>19</v>
      </c>
      <c r="K127" t="s">
        <v>12</v>
      </c>
    </row>
    <row r="128" spans="1:11" x14ac:dyDescent="0.3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499.99</v>
      </c>
      <c r="G128">
        <f>Online_Sales_Data[[#This Row],[Units Sold]]*Online_Sales_Data[[#This Row],[Unit Price]]</f>
        <v>499.99</v>
      </c>
      <c r="H128">
        <v>499.99</v>
      </c>
      <c r="I128">
        <f>Online_Sales_Data[[#This Row],[Expected Revenue]]-Online_Sales_Data[[#This Row],[Total Revenue]]</f>
        <v>0</v>
      </c>
      <c r="J128" t="s">
        <v>11</v>
      </c>
      <c r="K128" t="s">
        <v>12</v>
      </c>
    </row>
    <row r="129" spans="1:11" hidden="1" x14ac:dyDescent="0.3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399.99</v>
      </c>
      <c r="G129">
        <f>Online_Sales_Data[[#This Row],[Units Sold]]*Online_Sales_Data[[#This Row],[Unit Price]]</f>
        <v>799.98</v>
      </c>
      <c r="H129">
        <v>799.98</v>
      </c>
      <c r="I129">
        <f>Online_Sales_Data[[#This Row],[Expected Revenue]]-Online_Sales_Data[[#This Row],[Total Revenue]]</f>
        <v>0</v>
      </c>
      <c r="J129" t="s">
        <v>15</v>
      </c>
      <c r="K129" t="s">
        <v>16</v>
      </c>
    </row>
    <row r="130" spans="1:11" hidden="1" x14ac:dyDescent="0.3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f>Online_Sales_Data[[#This Row],[Units Sold]]*Online_Sales_Data[[#This Row],[Unit Price]]</f>
        <v>294</v>
      </c>
      <c r="H130">
        <v>294</v>
      </c>
      <c r="I130">
        <f>Online_Sales_Data[[#This Row],[Expected Revenue]]-Online_Sales_Data[[#This Row],[Total Revenue]]</f>
        <v>0</v>
      </c>
      <c r="J130" t="s">
        <v>19</v>
      </c>
      <c r="K130" t="s">
        <v>20</v>
      </c>
    </row>
    <row r="131" spans="1:11" x14ac:dyDescent="0.3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8.99</v>
      </c>
      <c r="G131">
        <f>Online_Sales_Data[[#This Row],[Units Sold]]*Online_Sales_Data[[#This Row],[Unit Price]]</f>
        <v>17.98</v>
      </c>
      <c r="H131">
        <v>17.98</v>
      </c>
      <c r="I131">
        <f>Online_Sales_Data[[#This Row],[Expected Revenue]]-Online_Sales_Data[[#This Row],[Total Revenue]]</f>
        <v>0</v>
      </c>
      <c r="J131" t="s">
        <v>11</v>
      </c>
      <c r="K131" t="s">
        <v>12</v>
      </c>
    </row>
    <row r="132" spans="1:11" hidden="1" x14ac:dyDescent="0.3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f>Online_Sales_Data[[#This Row],[Units Sold]]*Online_Sales_Data[[#This Row],[Unit Price]]</f>
        <v>36</v>
      </c>
      <c r="H132">
        <v>36</v>
      </c>
      <c r="I132">
        <f>Online_Sales_Data[[#This Row],[Expected Revenue]]-Online_Sales_Data[[#This Row],[Total Revenue]]</f>
        <v>0</v>
      </c>
      <c r="J132" t="s">
        <v>15</v>
      </c>
      <c r="K132" t="s">
        <v>16</v>
      </c>
    </row>
    <row r="133" spans="1:11" x14ac:dyDescent="0.3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39.950000000000003</v>
      </c>
      <c r="G133">
        <f>Online_Sales_Data[[#This Row],[Units Sold]]*Online_Sales_Data[[#This Row],[Unit Price]]</f>
        <v>159.80000000000001</v>
      </c>
      <c r="H133">
        <v>159.80000000000001</v>
      </c>
      <c r="I133">
        <f>Online_Sales_Data[[#This Row],[Expected Revenue]]-Online_Sales_Data[[#This Row],[Total Revenue]]</f>
        <v>0</v>
      </c>
      <c r="J133" t="s">
        <v>19</v>
      </c>
      <c r="K133" t="s">
        <v>12</v>
      </c>
    </row>
    <row r="134" spans="1:11" x14ac:dyDescent="0.3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1299.99</v>
      </c>
      <c r="G134">
        <f>Online_Sales_Data[[#This Row],[Units Sold]]*Online_Sales_Data[[#This Row],[Unit Price]]</f>
        <v>1299.99</v>
      </c>
      <c r="H134">
        <v>1299.99</v>
      </c>
      <c r="I134">
        <f>Online_Sales_Data[[#This Row],[Expected Revenue]]-Online_Sales_Data[[#This Row],[Total Revenue]]</f>
        <v>0</v>
      </c>
      <c r="J134" t="s">
        <v>11</v>
      </c>
      <c r="K134" t="s">
        <v>12</v>
      </c>
    </row>
    <row r="135" spans="1:11" hidden="1" x14ac:dyDescent="0.3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79.989999999999995</v>
      </c>
      <c r="G135">
        <f>Online_Sales_Data[[#This Row],[Units Sold]]*Online_Sales_Data[[#This Row],[Unit Price]]</f>
        <v>159.97999999999999</v>
      </c>
      <c r="H135">
        <v>159.97999999999999</v>
      </c>
      <c r="I135">
        <f>Online_Sales_Data[[#This Row],[Expected Revenue]]-Online_Sales_Data[[#This Row],[Total Revenue]]</f>
        <v>0</v>
      </c>
      <c r="J135" t="s">
        <v>15</v>
      </c>
      <c r="K135" t="s">
        <v>16</v>
      </c>
    </row>
    <row r="136" spans="1:11" hidden="1" x14ac:dyDescent="0.3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34.99</v>
      </c>
      <c r="G136">
        <f>Online_Sales_Data[[#This Row],[Units Sold]]*Online_Sales_Data[[#This Row],[Unit Price]]</f>
        <v>139.96</v>
      </c>
      <c r="H136">
        <v>139.96</v>
      </c>
      <c r="I136">
        <f>Online_Sales_Data[[#This Row],[Expected Revenue]]-Online_Sales_Data[[#This Row],[Total Revenue]]</f>
        <v>0</v>
      </c>
      <c r="J136" t="s">
        <v>19</v>
      </c>
      <c r="K136" t="s">
        <v>20</v>
      </c>
    </row>
    <row r="137" spans="1:11" x14ac:dyDescent="0.3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9.99</v>
      </c>
      <c r="G137">
        <f>Online_Sales_Data[[#This Row],[Units Sold]]*Online_Sales_Data[[#This Row],[Unit Price]]</f>
        <v>29.97</v>
      </c>
      <c r="H137">
        <v>29.97</v>
      </c>
      <c r="I137">
        <f>Online_Sales_Data[[#This Row],[Expected Revenue]]-Online_Sales_Data[[#This Row],[Total Revenue]]</f>
        <v>0</v>
      </c>
      <c r="J137" t="s">
        <v>11</v>
      </c>
      <c r="K137" t="s">
        <v>12</v>
      </c>
    </row>
    <row r="138" spans="1:11" hidden="1" x14ac:dyDescent="0.3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6.8</v>
      </c>
      <c r="G138">
        <f>Online_Sales_Data[[#This Row],[Units Sold]]*Online_Sales_Data[[#This Row],[Unit Price]]</f>
        <v>6.8</v>
      </c>
      <c r="H138">
        <v>6.8</v>
      </c>
      <c r="I138">
        <f>Online_Sales_Data[[#This Row],[Expected Revenue]]-Online_Sales_Data[[#This Row],[Total Revenue]]</f>
        <v>0</v>
      </c>
      <c r="J138" t="s">
        <v>15</v>
      </c>
      <c r="K138" t="s">
        <v>16</v>
      </c>
    </row>
    <row r="139" spans="1:11" x14ac:dyDescent="0.3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99.95</v>
      </c>
      <c r="G139">
        <f>Online_Sales_Data[[#This Row],[Units Sold]]*Online_Sales_Data[[#This Row],[Unit Price]]</f>
        <v>199.9</v>
      </c>
      <c r="H139">
        <v>199.9</v>
      </c>
      <c r="I139">
        <f>Online_Sales_Data[[#This Row],[Expected Revenue]]-Online_Sales_Data[[#This Row],[Total Revenue]]</f>
        <v>0</v>
      </c>
      <c r="J139" t="s">
        <v>19</v>
      </c>
      <c r="K139" t="s">
        <v>12</v>
      </c>
    </row>
    <row r="140" spans="1:11" x14ac:dyDescent="0.3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1499.99</v>
      </c>
      <c r="G140">
        <f>Online_Sales_Data[[#This Row],[Units Sold]]*Online_Sales_Data[[#This Row],[Unit Price]]</f>
        <v>1499.99</v>
      </c>
      <c r="H140">
        <v>1499.99</v>
      </c>
      <c r="I140">
        <f>Online_Sales_Data[[#This Row],[Expected Revenue]]-Online_Sales_Data[[#This Row],[Total Revenue]]</f>
        <v>0</v>
      </c>
      <c r="J140" t="s">
        <v>11</v>
      </c>
      <c r="K140" t="s">
        <v>12</v>
      </c>
    </row>
    <row r="141" spans="1:11" hidden="1" x14ac:dyDescent="0.3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139.99</v>
      </c>
      <c r="G141">
        <f>Online_Sales_Data[[#This Row],[Units Sold]]*Online_Sales_Data[[#This Row],[Unit Price]]</f>
        <v>139.99</v>
      </c>
      <c r="H141">
        <v>139.99</v>
      </c>
      <c r="I141">
        <f>Online_Sales_Data[[#This Row],[Expected Revenue]]-Online_Sales_Data[[#This Row],[Total Revenue]]</f>
        <v>0</v>
      </c>
      <c r="J141" t="s">
        <v>15</v>
      </c>
      <c r="K141" t="s">
        <v>16</v>
      </c>
    </row>
    <row r="142" spans="1:11" hidden="1" x14ac:dyDescent="0.3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44.99</v>
      </c>
      <c r="G142">
        <f>Online_Sales_Data[[#This Row],[Units Sold]]*Online_Sales_Data[[#This Row],[Unit Price]]</f>
        <v>134.97</v>
      </c>
      <c r="H142">
        <v>134.97</v>
      </c>
      <c r="I142">
        <f>Online_Sales_Data[[#This Row],[Expected Revenue]]-Online_Sales_Data[[#This Row],[Total Revenue]]</f>
        <v>0</v>
      </c>
      <c r="J142" t="s">
        <v>19</v>
      </c>
      <c r="K142" t="s">
        <v>20</v>
      </c>
    </row>
    <row r="143" spans="1:11" x14ac:dyDescent="0.3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11.99</v>
      </c>
      <c r="G143">
        <f>Online_Sales_Data[[#This Row],[Units Sold]]*Online_Sales_Data[[#This Row],[Unit Price]]</f>
        <v>23.98</v>
      </c>
      <c r="H143">
        <v>23.98</v>
      </c>
      <c r="I143">
        <f>Online_Sales_Data[[#This Row],[Expected Revenue]]-Online_Sales_Data[[#This Row],[Total Revenue]]</f>
        <v>0</v>
      </c>
      <c r="J143" t="s">
        <v>11</v>
      </c>
      <c r="K143" t="s">
        <v>12</v>
      </c>
    </row>
    <row r="144" spans="1:11" hidden="1" x14ac:dyDescent="0.3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29.5</v>
      </c>
      <c r="G144">
        <f>Online_Sales_Data[[#This Row],[Units Sold]]*Online_Sales_Data[[#This Row],[Unit Price]]</f>
        <v>29.5</v>
      </c>
      <c r="H144">
        <v>29.5</v>
      </c>
      <c r="I144">
        <f>Online_Sales_Data[[#This Row],[Expected Revenue]]-Online_Sales_Data[[#This Row],[Total Revenue]]</f>
        <v>0</v>
      </c>
      <c r="J144" t="s">
        <v>15</v>
      </c>
      <c r="K144" t="s">
        <v>16</v>
      </c>
    </row>
    <row r="145" spans="1:11" x14ac:dyDescent="0.3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299.99</v>
      </c>
      <c r="G145">
        <f>Online_Sales_Data[[#This Row],[Units Sold]]*Online_Sales_Data[[#This Row],[Unit Price]]</f>
        <v>299.99</v>
      </c>
      <c r="H145">
        <v>299.99</v>
      </c>
      <c r="I145">
        <f>Online_Sales_Data[[#This Row],[Expected Revenue]]-Online_Sales_Data[[#This Row],[Total Revenue]]</f>
        <v>0</v>
      </c>
      <c r="J145" t="s">
        <v>19</v>
      </c>
      <c r="K145" t="s">
        <v>12</v>
      </c>
    </row>
    <row r="146" spans="1:11" x14ac:dyDescent="0.3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f>Online_Sales_Data[[#This Row],[Units Sold]]*Online_Sales_Data[[#This Row],[Unit Price]]</f>
        <v>549</v>
      </c>
      <c r="H146">
        <v>549</v>
      </c>
      <c r="I146">
        <f>Online_Sales_Data[[#This Row],[Expected Revenue]]-Online_Sales_Data[[#This Row],[Total Revenue]]</f>
        <v>0</v>
      </c>
      <c r="J146" t="s">
        <v>11</v>
      </c>
      <c r="K146" t="s">
        <v>12</v>
      </c>
    </row>
    <row r="147" spans="1:11" hidden="1" x14ac:dyDescent="0.3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199.95</v>
      </c>
      <c r="G147">
        <f>Online_Sales_Data[[#This Row],[Units Sold]]*Online_Sales_Data[[#This Row],[Unit Price]]</f>
        <v>399.9</v>
      </c>
      <c r="H147">
        <v>399.9</v>
      </c>
      <c r="I147">
        <f>Online_Sales_Data[[#This Row],[Expected Revenue]]-Online_Sales_Data[[#This Row],[Total Revenue]]</f>
        <v>0</v>
      </c>
      <c r="J147" t="s">
        <v>15</v>
      </c>
      <c r="K147" t="s">
        <v>16</v>
      </c>
    </row>
    <row r="148" spans="1:11" hidden="1" x14ac:dyDescent="0.3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f>Online_Sales_Data[[#This Row],[Units Sold]]*Online_Sales_Data[[#This Row],[Unit Price]]</f>
        <v>196</v>
      </c>
      <c r="H148">
        <v>196</v>
      </c>
      <c r="I148">
        <f>Online_Sales_Data[[#This Row],[Expected Revenue]]-Online_Sales_Data[[#This Row],[Total Revenue]]</f>
        <v>0</v>
      </c>
      <c r="J148" t="s">
        <v>19</v>
      </c>
      <c r="K148" t="s">
        <v>20</v>
      </c>
    </row>
    <row r="149" spans="1:11" x14ac:dyDescent="0.3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10.99</v>
      </c>
      <c r="G149">
        <f>Online_Sales_Data[[#This Row],[Units Sold]]*Online_Sales_Data[[#This Row],[Unit Price]]</f>
        <v>32.97</v>
      </c>
      <c r="H149">
        <v>32.97</v>
      </c>
      <c r="I149">
        <f>Online_Sales_Data[[#This Row],[Expected Revenue]]-Online_Sales_Data[[#This Row],[Total Revenue]]</f>
        <v>0</v>
      </c>
      <c r="J149" t="s">
        <v>11</v>
      </c>
      <c r="K149" t="s">
        <v>12</v>
      </c>
    </row>
    <row r="150" spans="1:11" hidden="1" x14ac:dyDescent="0.3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f>Online_Sales_Data[[#This Row],[Units Sold]]*Online_Sales_Data[[#This Row],[Unit Price]]</f>
        <v>25</v>
      </c>
      <c r="H150">
        <v>25</v>
      </c>
      <c r="I150">
        <f>Online_Sales_Data[[#This Row],[Expected Revenue]]-Online_Sales_Data[[#This Row],[Total Revenue]]</f>
        <v>0</v>
      </c>
      <c r="J150" t="s">
        <v>15</v>
      </c>
      <c r="K150" t="s">
        <v>16</v>
      </c>
    </row>
    <row r="151" spans="1:11" x14ac:dyDescent="0.3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149.99</v>
      </c>
      <c r="G151">
        <f>Online_Sales_Data[[#This Row],[Units Sold]]*Online_Sales_Data[[#This Row],[Unit Price]]</f>
        <v>299.98</v>
      </c>
      <c r="H151">
        <v>299.98</v>
      </c>
      <c r="I151">
        <f>Online_Sales_Data[[#This Row],[Expected Revenue]]-Online_Sales_Data[[#This Row],[Total Revenue]]</f>
        <v>0</v>
      </c>
      <c r="J151" t="s">
        <v>19</v>
      </c>
      <c r="K151" t="s">
        <v>12</v>
      </c>
    </row>
    <row r="152" spans="1:11" x14ac:dyDescent="0.3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349.99</v>
      </c>
      <c r="G152">
        <f>Online_Sales_Data[[#This Row],[Units Sold]]*Online_Sales_Data[[#This Row],[Unit Price]]</f>
        <v>349.99</v>
      </c>
      <c r="H152">
        <v>349.99</v>
      </c>
      <c r="I152">
        <f>Online_Sales_Data[[#This Row],[Expected Revenue]]-Online_Sales_Data[[#This Row],[Total Revenue]]</f>
        <v>0</v>
      </c>
      <c r="J152" t="s">
        <v>11</v>
      </c>
      <c r="K152" t="s">
        <v>12</v>
      </c>
    </row>
    <row r="153" spans="1:11" hidden="1" x14ac:dyDescent="0.3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199.99</v>
      </c>
      <c r="G153">
        <f>Online_Sales_Data[[#This Row],[Units Sold]]*Online_Sales_Data[[#This Row],[Unit Price]]</f>
        <v>399.98</v>
      </c>
      <c r="H153">
        <v>399.98</v>
      </c>
      <c r="I153">
        <f>Online_Sales_Data[[#This Row],[Expected Revenue]]-Online_Sales_Data[[#This Row],[Total Revenue]]</f>
        <v>0</v>
      </c>
      <c r="J153" t="s">
        <v>15</v>
      </c>
      <c r="K153" t="s">
        <v>16</v>
      </c>
    </row>
    <row r="154" spans="1:11" hidden="1" x14ac:dyDescent="0.3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54.99</v>
      </c>
      <c r="G154">
        <f>Online_Sales_Data[[#This Row],[Units Sold]]*Online_Sales_Data[[#This Row],[Unit Price]]</f>
        <v>164.97</v>
      </c>
      <c r="H154">
        <v>164.97</v>
      </c>
      <c r="I154">
        <f>Online_Sales_Data[[#This Row],[Expected Revenue]]-Online_Sales_Data[[#This Row],[Total Revenue]]</f>
        <v>0</v>
      </c>
      <c r="J154" t="s">
        <v>19</v>
      </c>
      <c r="K154" t="s">
        <v>20</v>
      </c>
    </row>
    <row r="155" spans="1:11" x14ac:dyDescent="0.3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16.989999999999998</v>
      </c>
      <c r="G155">
        <f>Online_Sales_Data[[#This Row],[Units Sold]]*Online_Sales_Data[[#This Row],[Unit Price]]</f>
        <v>33.979999999999997</v>
      </c>
      <c r="H155">
        <v>33.979999999999997</v>
      </c>
      <c r="I155">
        <f>Online_Sales_Data[[#This Row],[Expected Revenue]]-Online_Sales_Data[[#This Row],[Total Revenue]]</f>
        <v>0</v>
      </c>
      <c r="J155" t="s">
        <v>11</v>
      </c>
      <c r="K155" t="s">
        <v>12</v>
      </c>
    </row>
    <row r="156" spans="1:11" hidden="1" x14ac:dyDescent="0.3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f>Online_Sales_Data[[#This Row],[Units Sold]]*Online_Sales_Data[[#This Row],[Unit Price]]</f>
        <v>59</v>
      </c>
      <c r="H156">
        <v>59</v>
      </c>
      <c r="I156">
        <f>Online_Sales_Data[[#This Row],[Expected Revenue]]-Online_Sales_Data[[#This Row],[Total Revenue]]</f>
        <v>0</v>
      </c>
      <c r="J156" t="s">
        <v>15</v>
      </c>
      <c r="K156" t="s">
        <v>16</v>
      </c>
    </row>
    <row r="157" spans="1:11" x14ac:dyDescent="0.3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299.99</v>
      </c>
      <c r="G157">
        <f>Online_Sales_Data[[#This Row],[Units Sold]]*Online_Sales_Data[[#This Row],[Unit Price]]</f>
        <v>299.99</v>
      </c>
      <c r="H157">
        <v>299.99</v>
      </c>
      <c r="I157">
        <f>Online_Sales_Data[[#This Row],[Expected Revenue]]-Online_Sales_Data[[#This Row],[Total Revenue]]</f>
        <v>0</v>
      </c>
      <c r="J157" t="s">
        <v>19</v>
      </c>
      <c r="K157" t="s">
        <v>12</v>
      </c>
    </row>
    <row r="158" spans="1:11" x14ac:dyDescent="0.3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899.99</v>
      </c>
      <c r="G158">
        <f>Online_Sales_Data[[#This Row],[Units Sold]]*Online_Sales_Data[[#This Row],[Unit Price]]</f>
        <v>899.99</v>
      </c>
      <c r="H158">
        <v>899.99</v>
      </c>
      <c r="I158">
        <f>Online_Sales_Data[[#This Row],[Expected Revenue]]-Online_Sales_Data[[#This Row],[Total Revenue]]</f>
        <v>0</v>
      </c>
      <c r="J158" t="s">
        <v>11</v>
      </c>
      <c r="K158" t="s">
        <v>12</v>
      </c>
    </row>
    <row r="159" spans="1:11" hidden="1" x14ac:dyDescent="0.3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499.95</v>
      </c>
      <c r="G159">
        <f>Online_Sales_Data[[#This Row],[Units Sold]]*Online_Sales_Data[[#This Row],[Unit Price]]</f>
        <v>499.95</v>
      </c>
      <c r="H159">
        <v>499.95</v>
      </c>
      <c r="I159">
        <f>Online_Sales_Data[[#This Row],[Expected Revenue]]-Online_Sales_Data[[#This Row],[Total Revenue]]</f>
        <v>0</v>
      </c>
      <c r="J159" t="s">
        <v>15</v>
      </c>
      <c r="K159" t="s">
        <v>16</v>
      </c>
    </row>
    <row r="160" spans="1:11" hidden="1" x14ac:dyDescent="0.3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24.99</v>
      </c>
      <c r="G160">
        <f>Online_Sales_Data[[#This Row],[Units Sold]]*Online_Sales_Data[[#This Row],[Unit Price]]</f>
        <v>99.96</v>
      </c>
      <c r="H160">
        <v>99.96</v>
      </c>
      <c r="I160">
        <f>Online_Sales_Data[[#This Row],[Expected Revenue]]-Online_Sales_Data[[#This Row],[Total Revenue]]</f>
        <v>0</v>
      </c>
      <c r="J160" t="s">
        <v>19</v>
      </c>
      <c r="K160" t="s">
        <v>20</v>
      </c>
    </row>
    <row r="161" spans="1:11" x14ac:dyDescent="0.3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7.99</v>
      </c>
      <c r="G161">
        <f>Online_Sales_Data[[#This Row],[Units Sold]]*Online_Sales_Data[[#This Row],[Unit Price]]</f>
        <v>23.97</v>
      </c>
      <c r="H161">
        <v>23.97</v>
      </c>
      <c r="I161">
        <f>Online_Sales_Data[[#This Row],[Expected Revenue]]-Online_Sales_Data[[#This Row],[Total Revenue]]</f>
        <v>0</v>
      </c>
      <c r="J161" t="s">
        <v>11</v>
      </c>
      <c r="K161" t="s">
        <v>12</v>
      </c>
    </row>
    <row r="162" spans="1:11" hidden="1" x14ac:dyDescent="0.3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f>Online_Sales_Data[[#This Row],[Units Sold]]*Online_Sales_Data[[#This Row],[Unit Price]]</f>
        <v>36</v>
      </c>
      <c r="H162">
        <v>36</v>
      </c>
      <c r="I162">
        <f>Online_Sales_Data[[#This Row],[Expected Revenue]]-Online_Sales_Data[[#This Row],[Total Revenue]]</f>
        <v>0</v>
      </c>
      <c r="J162" t="s">
        <v>15</v>
      </c>
      <c r="K162" t="s">
        <v>16</v>
      </c>
    </row>
    <row r="163" spans="1:11" x14ac:dyDescent="0.3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34.99</v>
      </c>
      <c r="G163">
        <f>Online_Sales_Data[[#This Row],[Units Sold]]*Online_Sales_Data[[#This Row],[Unit Price]]</f>
        <v>69.98</v>
      </c>
      <c r="H163">
        <v>69.98</v>
      </c>
      <c r="I163">
        <f>Online_Sales_Data[[#This Row],[Expected Revenue]]-Online_Sales_Data[[#This Row],[Total Revenue]]</f>
        <v>0</v>
      </c>
      <c r="J163" t="s">
        <v>19</v>
      </c>
      <c r="K163" t="s">
        <v>12</v>
      </c>
    </row>
    <row r="164" spans="1:11" x14ac:dyDescent="0.3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1199.99</v>
      </c>
      <c r="G164">
        <f>Online_Sales_Data[[#This Row],[Units Sold]]*Online_Sales_Data[[#This Row],[Unit Price]]</f>
        <v>1199.99</v>
      </c>
      <c r="H164">
        <v>1199.99</v>
      </c>
      <c r="I164">
        <f>Online_Sales_Data[[#This Row],[Expected Revenue]]-Online_Sales_Data[[#This Row],[Total Revenue]]</f>
        <v>0</v>
      </c>
      <c r="J164" t="s">
        <v>11</v>
      </c>
      <c r="K164" t="s">
        <v>12</v>
      </c>
    </row>
    <row r="165" spans="1:11" hidden="1" x14ac:dyDescent="0.3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199.99</v>
      </c>
      <c r="G165">
        <f>Online_Sales_Data[[#This Row],[Units Sold]]*Online_Sales_Data[[#This Row],[Unit Price]]</f>
        <v>199.99</v>
      </c>
      <c r="H165">
        <v>199.99</v>
      </c>
      <c r="I165">
        <f>Online_Sales_Data[[#This Row],[Expected Revenue]]-Online_Sales_Data[[#This Row],[Total Revenue]]</f>
        <v>0</v>
      </c>
      <c r="J165" t="s">
        <v>15</v>
      </c>
      <c r="K165" t="s">
        <v>16</v>
      </c>
    </row>
    <row r="166" spans="1:11" hidden="1" x14ac:dyDescent="0.3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29.99</v>
      </c>
      <c r="G166">
        <f>Online_Sales_Data[[#This Row],[Units Sold]]*Online_Sales_Data[[#This Row],[Unit Price]]</f>
        <v>149.94999999999999</v>
      </c>
      <c r="H166">
        <v>149.94999999999999</v>
      </c>
      <c r="I166">
        <f>Online_Sales_Data[[#This Row],[Expected Revenue]]-Online_Sales_Data[[#This Row],[Total Revenue]]</f>
        <v>0</v>
      </c>
      <c r="J166" t="s">
        <v>19</v>
      </c>
      <c r="K166" t="s">
        <v>20</v>
      </c>
    </row>
    <row r="167" spans="1:11" x14ac:dyDescent="0.3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8.99</v>
      </c>
      <c r="G167">
        <f>Online_Sales_Data[[#This Row],[Units Sold]]*Online_Sales_Data[[#This Row],[Unit Price]]</f>
        <v>35.96</v>
      </c>
      <c r="H167">
        <v>35.96</v>
      </c>
      <c r="I167">
        <f>Online_Sales_Data[[#This Row],[Expected Revenue]]-Online_Sales_Data[[#This Row],[Total Revenue]]</f>
        <v>0</v>
      </c>
      <c r="J167" t="s">
        <v>11</v>
      </c>
      <c r="K167" t="s">
        <v>12</v>
      </c>
    </row>
    <row r="168" spans="1:11" hidden="1" x14ac:dyDescent="0.3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16.989999999999998</v>
      </c>
      <c r="G168">
        <f>Online_Sales_Data[[#This Row],[Units Sold]]*Online_Sales_Data[[#This Row],[Unit Price]]</f>
        <v>16.989999999999998</v>
      </c>
      <c r="H168">
        <v>16.989999999999998</v>
      </c>
      <c r="I168">
        <f>Online_Sales_Data[[#This Row],[Expected Revenue]]-Online_Sales_Data[[#This Row],[Total Revenue]]</f>
        <v>0</v>
      </c>
      <c r="J168" t="s">
        <v>15</v>
      </c>
      <c r="K168" t="s">
        <v>16</v>
      </c>
    </row>
    <row r="169" spans="1:11" x14ac:dyDescent="0.3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49.99</v>
      </c>
      <c r="G169">
        <f>Online_Sales_Data[[#This Row],[Units Sold]]*Online_Sales_Data[[#This Row],[Unit Price]]</f>
        <v>149.97</v>
      </c>
      <c r="H169">
        <v>149.97</v>
      </c>
      <c r="I169">
        <f>Online_Sales_Data[[#This Row],[Expected Revenue]]-Online_Sales_Data[[#This Row],[Total Revenue]]</f>
        <v>0</v>
      </c>
      <c r="J169" t="s">
        <v>19</v>
      </c>
      <c r="K169" t="s">
        <v>12</v>
      </c>
    </row>
    <row r="170" spans="1:11" x14ac:dyDescent="0.3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699.99</v>
      </c>
      <c r="G170">
        <f>Online_Sales_Data[[#This Row],[Units Sold]]*Online_Sales_Data[[#This Row],[Unit Price]]</f>
        <v>699.99</v>
      </c>
      <c r="H170">
        <v>699.99</v>
      </c>
      <c r="I170">
        <f>Online_Sales_Data[[#This Row],[Expected Revenue]]-Online_Sales_Data[[#This Row],[Total Revenue]]</f>
        <v>0</v>
      </c>
      <c r="J170" t="s">
        <v>11</v>
      </c>
      <c r="K170" t="s">
        <v>12</v>
      </c>
    </row>
    <row r="171" spans="1:11" hidden="1" x14ac:dyDescent="0.3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139.99</v>
      </c>
      <c r="G171">
        <f>Online_Sales_Data[[#This Row],[Units Sold]]*Online_Sales_Data[[#This Row],[Unit Price]]</f>
        <v>279.98</v>
      </c>
      <c r="H171">
        <v>279.98</v>
      </c>
      <c r="I171">
        <f>Online_Sales_Data[[#This Row],[Expected Revenue]]-Online_Sales_Data[[#This Row],[Total Revenue]]</f>
        <v>0</v>
      </c>
      <c r="J171" t="s">
        <v>15</v>
      </c>
      <c r="K171" t="s">
        <v>16</v>
      </c>
    </row>
    <row r="172" spans="1:11" hidden="1" x14ac:dyDescent="0.3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34.99</v>
      </c>
      <c r="G172">
        <f>Online_Sales_Data[[#This Row],[Units Sold]]*Online_Sales_Data[[#This Row],[Unit Price]]</f>
        <v>104.97</v>
      </c>
      <c r="H172">
        <v>104.97</v>
      </c>
      <c r="I172">
        <f>Online_Sales_Data[[#This Row],[Expected Revenue]]-Online_Sales_Data[[#This Row],[Total Revenue]]</f>
        <v>0</v>
      </c>
      <c r="J172" t="s">
        <v>19</v>
      </c>
      <c r="K172" t="s">
        <v>20</v>
      </c>
    </row>
    <row r="173" spans="1:11" x14ac:dyDescent="0.3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9.99</v>
      </c>
      <c r="G173">
        <f>Online_Sales_Data[[#This Row],[Units Sold]]*Online_Sales_Data[[#This Row],[Unit Price]]</f>
        <v>19.98</v>
      </c>
      <c r="H173">
        <v>19.98</v>
      </c>
      <c r="I173">
        <f>Online_Sales_Data[[#This Row],[Expected Revenue]]-Online_Sales_Data[[#This Row],[Total Revenue]]</f>
        <v>0</v>
      </c>
      <c r="J173" t="s">
        <v>11</v>
      </c>
      <c r="K173" t="s">
        <v>12</v>
      </c>
    </row>
    <row r="174" spans="1:11" hidden="1" x14ac:dyDescent="0.3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29.5</v>
      </c>
      <c r="G174">
        <f>Online_Sales_Data[[#This Row],[Units Sold]]*Online_Sales_Data[[#This Row],[Unit Price]]</f>
        <v>29.5</v>
      </c>
      <c r="H174">
        <v>29.5</v>
      </c>
      <c r="I174">
        <f>Online_Sales_Data[[#This Row],[Expected Revenue]]-Online_Sales_Data[[#This Row],[Total Revenue]]</f>
        <v>0</v>
      </c>
      <c r="J174" t="s">
        <v>15</v>
      </c>
      <c r="K174" t="s">
        <v>16</v>
      </c>
    </row>
    <row r="175" spans="1:11" x14ac:dyDescent="0.3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699.99</v>
      </c>
      <c r="G175">
        <f>Online_Sales_Data[[#This Row],[Units Sold]]*Online_Sales_Data[[#This Row],[Unit Price]]</f>
        <v>699.99</v>
      </c>
      <c r="H175">
        <v>699.99</v>
      </c>
      <c r="I175">
        <f>Online_Sales_Data[[#This Row],[Expected Revenue]]-Online_Sales_Data[[#This Row],[Total Revenue]]</f>
        <v>0</v>
      </c>
      <c r="J175" t="s">
        <v>19</v>
      </c>
      <c r="K175" t="s">
        <v>12</v>
      </c>
    </row>
    <row r="176" spans="1:11" x14ac:dyDescent="0.3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49.99</v>
      </c>
      <c r="G176">
        <f>Online_Sales_Data[[#This Row],[Units Sold]]*Online_Sales_Data[[#This Row],[Unit Price]]</f>
        <v>149.97</v>
      </c>
      <c r="H176">
        <v>149.97</v>
      </c>
      <c r="I176">
        <f>Online_Sales_Data[[#This Row],[Expected Revenue]]-Online_Sales_Data[[#This Row],[Total Revenue]]</f>
        <v>0</v>
      </c>
      <c r="J176" t="s">
        <v>11</v>
      </c>
      <c r="K176" t="s">
        <v>12</v>
      </c>
    </row>
    <row r="177" spans="1:11" hidden="1" x14ac:dyDescent="0.3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49.99</v>
      </c>
      <c r="G177">
        <f>Online_Sales_Data[[#This Row],[Units Sold]]*Online_Sales_Data[[#This Row],[Unit Price]]</f>
        <v>99.98</v>
      </c>
      <c r="H177">
        <v>99.98</v>
      </c>
      <c r="I177">
        <f>Online_Sales_Data[[#This Row],[Expected Revenue]]-Online_Sales_Data[[#This Row],[Total Revenue]]</f>
        <v>0</v>
      </c>
      <c r="J177" t="s">
        <v>15</v>
      </c>
      <c r="K177" t="s">
        <v>16</v>
      </c>
    </row>
    <row r="178" spans="1:11" hidden="1" x14ac:dyDescent="0.3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14.9</v>
      </c>
      <c r="G178">
        <f>Online_Sales_Data[[#This Row],[Units Sold]]*Online_Sales_Data[[#This Row],[Unit Price]]</f>
        <v>59.6</v>
      </c>
      <c r="H178">
        <v>59.6</v>
      </c>
      <c r="I178">
        <f>Online_Sales_Data[[#This Row],[Expected Revenue]]-Online_Sales_Data[[#This Row],[Total Revenue]]</f>
        <v>0</v>
      </c>
      <c r="J178" t="s">
        <v>19</v>
      </c>
      <c r="K178" t="s">
        <v>20</v>
      </c>
    </row>
    <row r="179" spans="1:11" x14ac:dyDescent="0.3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11.99</v>
      </c>
      <c r="G179">
        <f>Online_Sales_Data[[#This Row],[Units Sold]]*Online_Sales_Data[[#This Row],[Unit Price]]</f>
        <v>35.97</v>
      </c>
      <c r="H179">
        <v>35.97</v>
      </c>
      <c r="I179">
        <f>Online_Sales_Data[[#This Row],[Expected Revenue]]-Online_Sales_Data[[#This Row],[Total Revenue]]</f>
        <v>0</v>
      </c>
      <c r="J179" t="s">
        <v>11</v>
      </c>
      <c r="K179" t="s">
        <v>12</v>
      </c>
    </row>
    <row r="180" spans="1:11" hidden="1" x14ac:dyDescent="0.3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f>Online_Sales_Data[[#This Row],[Units Sold]]*Online_Sales_Data[[#This Row],[Unit Price]]</f>
        <v>68</v>
      </c>
      <c r="H180">
        <v>68</v>
      </c>
      <c r="I180">
        <f>Online_Sales_Data[[#This Row],[Expected Revenue]]-Online_Sales_Data[[#This Row],[Total Revenue]]</f>
        <v>0</v>
      </c>
      <c r="J180" t="s">
        <v>15</v>
      </c>
      <c r="K180" t="s">
        <v>16</v>
      </c>
    </row>
    <row r="181" spans="1:11" x14ac:dyDescent="0.3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f>Online_Sales_Data[[#This Row],[Units Sold]]*Online_Sales_Data[[#This Row],[Unit Price]]</f>
        <v>146</v>
      </c>
      <c r="H181">
        <v>146</v>
      </c>
      <c r="I181">
        <f>Online_Sales_Data[[#This Row],[Expected Revenue]]-Online_Sales_Data[[#This Row],[Total Revenue]]</f>
        <v>0</v>
      </c>
      <c r="J181" t="s">
        <v>19</v>
      </c>
      <c r="K181" t="s">
        <v>12</v>
      </c>
    </row>
    <row r="182" spans="1:11" x14ac:dyDescent="0.3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649.99</v>
      </c>
      <c r="G182">
        <f>Online_Sales_Data[[#This Row],[Units Sold]]*Online_Sales_Data[[#This Row],[Unit Price]]</f>
        <v>649.99</v>
      </c>
      <c r="H182">
        <v>649.99</v>
      </c>
      <c r="I182">
        <f>Online_Sales_Data[[#This Row],[Expected Revenue]]-Online_Sales_Data[[#This Row],[Total Revenue]]</f>
        <v>0</v>
      </c>
      <c r="J182" t="s">
        <v>11</v>
      </c>
      <c r="K182" t="s">
        <v>12</v>
      </c>
    </row>
    <row r="183" spans="1:11" hidden="1" x14ac:dyDescent="0.3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399.99</v>
      </c>
      <c r="G183">
        <f>Online_Sales_Data[[#This Row],[Units Sold]]*Online_Sales_Data[[#This Row],[Unit Price]]</f>
        <v>399.99</v>
      </c>
      <c r="H183">
        <v>399.99</v>
      </c>
      <c r="I183">
        <f>Online_Sales_Data[[#This Row],[Expected Revenue]]-Online_Sales_Data[[#This Row],[Total Revenue]]</f>
        <v>0</v>
      </c>
      <c r="J183" t="s">
        <v>15</v>
      </c>
      <c r="K183" t="s">
        <v>16</v>
      </c>
    </row>
    <row r="184" spans="1:11" hidden="1" x14ac:dyDescent="0.3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59.99</v>
      </c>
      <c r="G184">
        <f>Online_Sales_Data[[#This Row],[Units Sold]]*Online_Sales_Data[[#This Row],[Unit Price]]</f>
        <v>179.97</v>
      </c>
      <c r="H184">
        <v>179.97</v>
      </c>
      <c r="I184">
        <f>Online_Sales_Data[[#This Row],[Expected Revenue]]-Online_Sales_Data[[#This Row],[Total Revenue]]</f>
        <v>0</v>
      </c>
      <c r="J184" t="s">
        <v>19</v>
      </c>
      <c r="K184" t="s">
        <v>20</v>
      </c>
    </row>
    <row r="185" spans="1:11" x14ac:dyDescent="0.3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12.99</v>
      </c>
      <c r="G185">
        <f>Online_Sales_Data[[#This Row],[Units Sold]]*Online_Sales_Data[[#This Row],[Unit Price]]</f>
        <v>25.98</v>
      </c>
      <c r="H185">
        <v>25.98</v>
      </c>
      <c r="I185">
        <f>Online_Sales_Data[[#This Row],[Expected Revenue]]-Online_Sales_Data[[#This Row],[Total Revenue]]</f>
        <v>0</v>
      </c>
      <c r="J185" t="s">
        <v>11</v>
      </c>
      <c r="K185" t="s">
        <v>12</v>
      </c>
    </row>
    <row r="186" spans="1:11" hidden="1" x14ac:dyDescent="0.3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f>Online_Sales_Data[[#This Row],[Units Sold]]*Online_Sales_Data[[#This Row],[Unit Price]]</f>
        <v>190</v>
      </c>
      <c r="H186">
        <v>190</v>
      </c>
      <c r="I186">
        <f>Online_Sales_Data[[#This Row],[Expected Revenue]]-Online_Sales_Data[[#This Row],[Total Revenue]]</f>
        <v>0</v>
      </c>
      <c r="J186" t="s">
        <v>15</v>
      </c>
      <c r="K186" t="s">
        <v>16</v>
      </c>
    </row>
    <row r="187" spans="1:11" x14ac:dyDescent="0.3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499.95</v>
      </c>
      <c r="G187">
        <f>Online_Sales_Data[[#This Row],[Units Sold]]*Online_Sales_Data[[#This Row],[Unit Price]]</f>
        <v>499.95</v>
      </c>
      <c r="H187">
        <v>499.95</v>
      </c>
      <c r="I187">
        <f>Online_Sales_Data[[#This Row],[Expected Revenue]]-Online_Sales_Data[[#This Row],[Total Revenue]]</f>
        <v>0</v>
      </c>
      <c r="J187" t="s">
        <v>19</v>
      </c>
      <c r="K187" t="s">
        <v>12</v>
      </c>
    </row>
    <row r="188" spans="1:11" x14ac:dyDescent="0.3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f>Online_Sales_Data[[#This Row],[Units Sold]]*Online_Sales_Data[[#This Row],[Unit Price]]</f>
        <v>399</v>
      </c>
      <c r="H188">
        <v>399</v>
      </c>
      <c r="I188">
        <f>Online_Sales_Data[[#This Row],[Expected Revenue]]-Online_Sales_Data[[#This Row],[Total Revenue]]</f>
        <v>0</v>
      </c>
      <c r="J188" t="s">
        <v>11</v>
      </c>
      <c r="K188" t="s">
        <v>12</v>
      </c>
    </row>
    <row r="189" spans="1:11" hidden="1" x14ac:dyDescent="0.3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f>Online_Sales_Data[[#This Row],[Units Sold]]*Online_Sales_Data[[#This Row],[Unit Price]]</f>
        <v>398</v>
      </c>
      <c r="H189">
        <v>398</v>
      </c>
      <c r="I189">
        <f>Online_Sales_Data[[#This Row],[Expected Revenue]]-Online_Sales_Data[[#This Row],[Total Revenue]]</f>
        <v>0</v>
      </c>
      <c r="J189" t="s">
        <v>15</v>
      </c>
      <c r="K189" t="s">
        <v>16</v>
      </c>
    </row>
    <row r="190" spans="1:11" hidden="1" x14ac:dyDescent="0.3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34.99</v>
      </c>
      <c r="G190">
        <f>Online_Sales_Data[[#This Row],[Units Sold]]*Online_Sales_Data[[#This Row],[Unit Price]]</f>
        <v>139.96</v>
      </c>
      <c r="H190">
        <v>139.96</v>
      </c>
      <c r="I190">
        <f>Online_Sales_Data[[#This Row],[Expected Revenue]]-Online_Sales_Data[[#This Row],[Total Revenue]]</f>
        <v>0</v>
      </c>
      <c r="J190" t="s">
        <v>19</v>
      </c>
      <c r="K190" t="s">
        <v>20</v>
      </c>
    </row>
    <row r="191" spans="1:11" x14ac:dyDescent="0.3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10.99</v>
      </c>
      <c r="G191">
        <f>Online_Sales_Data[[#This Row],[Units Sold]]*Online_Sales_Data[[#This Row],[Unit Price]]</f>
        <v>32.97</v>
      </c>
      <c r="H191">
        <v>32.97</v>
      </c>
      <c r="I191">
        <f>Online_Sales_Data[[#This Row],[Expected Revenue]]-Online_Sales_Data[[#This Row],[Total Revenue]]</f>
        <v>0</v>
      </c>
      <c r="J191" t="s">
        <v>11</v>
      </c>
      <c r="K191" t="s">
        <v>12</v>
      </c>
    </row>
    <row r="192" spans="1:11" hidden="1" x14ac:dyDescent="0.3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f>Online_Sales_Data[[#This Row],[Units Sold]]*Online_Sales_Data[[#This Row],[Unit Price]]</f>
        <v>18</v>
      </c>
      <c r="H192">
        <v>18</v>
      </c>
      <c r="I192">
        <f>Online_Sales_Data[[#This Row],[Expected Revenue]]-Online_Sales_Data[[#This Row],[Total Revenue]]</f>
        <v>0</v>
      </c>
      <c r="J192" t="s">
        <v>15</v>
      </c>
      <c r="K192" t="s">
        <v>16</v>
      </c>
    </row>
    <row r="193" spans="1:11" x14ac:dyDescent="0.3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169.95</v>
      </c>
      <c r="G193">
        <f>Online_Sales_Data[[#This Row],[Units Sold]]*Online_Sales_Data[[#This Row],[Unit Price]]</f>
        <v>169.95</v>
      </c>
      <c r="H193">
        <v>169.95</v>
      </c>
      <c r="I193">
        <f>Online_Sales_Data[[#This Row],[Expected Revenue]]-Online_Sales_Data[[#This Row],[Total Revenue]]</f>
        <v>0</v>
      </c>
      <c r="J193" t="s">
        <v>19</v>
      </c>
      <c r="K193" t="s">
        <v>12</v>
      </c>
    </row>
    <row r="194" spans="1:11" x14ac:dyDescent="0.3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199.99</v>
      </c>
      <c r="G194">
        <f>Online_Sales_Data[[#This Row],[Units Sold]]*Online_Sales_Data[[#This Row],[Unit Price]]</f>
        <v>199.99</v>
      </c>
      <c r="H194">
        <v>199.99</v>
      </c>
      <c r="I194">
        <f>Online_Sales_Data[[#This Row],[Expected Revenue]]-Online_Sales_Data[[#This Row],[Total Revenue]]</f>
        <v>0</v>
      </c>
      <c r="J194" t="s">
        <v>11</v>
      </c>
      <c r="K194" t="s">
        <v>12</v>
      </c>
    </row>
    <row r="195" spans="1:11" hidden="1" x14ac:dyDescent="0.3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199.95</v>
      </c>
      <c r="G195">
        <f>Online_Sales_Data[[#This Row],[Units Sold]]*Online_Sales_Data[[#This Row],[Unit Price]]</f>
        <v>199.95</v>
      </c>
      <c r="H195">
        <v>199.95</v>
      </c>
      <c r="I195">
        <f>Online_Sales_Data[[#This Row],[Expected Revenue]]-Online_Sales_Data[[#This Row],[Total Revenue]]</f>
        <v>0</v>
      </c>
      <c r="J195" t="s">
        <v>15</v>
      </c>
      <c r="K195" t="s">
        <v>16</v>
      </c>
    </row>
    <row r="196" spans="1:11" hidden="1" x14ac:dyDescent="0.3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179.99</v>
      </c>
      <c r="G196">
        <f>Online_Sales_Data[[#This Row],[Units Sold]]*Online_Sales_Data[[#This Row],[Unit Price]]</f>
        <v>359.98</v>
      </c>
      <c r="H196">
        <v>359.98</v>
      </c>
      <c r="I196">
        <f>Online_Sales_Data[[#This Row],[Expected Revenue]]-Online_Sales_Data[[#This Row],[Total Revenue]]</f>
        <v>0</v>
      </c>
      <c r="J196" t="s">
        <v>19</v>
      </c>
      <c r="K196" t="s">
        <v>20</v>
      </c>
    </row>
    <row r="197" spans="1:11" x14ac:dyDescent="0.3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11.99</v>
      </c>
      <c r="G197">
        <f>Online_Sales_Data[[#This Row],[Units Sold]]*Online_Sales_Data[[#This Row],[Unit Price]]</f>
        <v>23.98</v>
      </c>
      <c r="H197">
        <v>23.98</v>
      </c>
      <c r="I197">
        <f>Online_Sales_Data[[#This Row],[Expected Revenue]]-Online_Sales_Data[[#This Row],[Total Revenue]]</f>
        <v>0</v>
      </c>
      <c r="J197" t="s">
        <v>11</v>
      </c>
      <c r="K197" t="s">
        <v>12</v>
      </c>
    </row>
    <row r="198" spans="1:11" hidden="1" x14ac:dyDescent="0.3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f>Online_Sales_Data[[#This Row],[Units Sold]]*Online_Sales_Data[[#This Row],[Unit Price]]</f>
        <v>125</v>
      </c>
      <c r="H198">
        <v>125</v>
      </c>
      <c r="I198">
        <f>Online_Sales_Data[[#This Row],[Expected Revenue]]-Online_Sales_Data[[#This Row],[Total Revenue]]</f>
        <v>0</v>
      </c>
      <c r="J198" t="s">
        <v>15</v>
      </c>
      <c r="K198" t="s">
        <v>16</v>
      </c>
    </row>
    <row r="199" spans="1:11" x14ac:dyDescent="0.3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449.99</v>
      </c>
      <c r="G199">
        <f>Online_Sales_Data[[#This Row],[Units Sold]]*Online_Sales_Data[[#This Row],[Unit Price]]</f>
        <v>449.99</v>
      </c>
      <c r="H199">
        <v>449.99</v>
      </c>
      <c r="I199">
        <f>Online_Sales_Data[[#This Row],[Expected Revenue]]-Online_Sales_Data[[#This Row],[Total Revenue]]</f>
        <v>0</v>
      </c>
      <c r="J199" t="s">
        <v>19</v>
      </c>
      <c r="K199" t="s">
        <v>12</v>
      </c>
    </row>
    <row r="200" spans="1:11" x14ac:dyDescent="0.3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f>Online_Sales_Data[[#This Row],[Units Sold]]*Online_Sales_Data[[#This Row],[Unit Price]]</f>
        <v>358</v>
      </c>
      <c r="H200">
        <v>358</v>
      </c>
      <c r="I200">
        <f>Online_Sales_Data[[#This Row],[Expected Revenue]]-Online_Sales_Data[[#This Row],[Total Revenue]]</f>
        <v>0</v>
      </c>
      <c r="J200" t="s">
        <v>11</v>
      </c>
      <c r="K200" t="s">
        <v>12</v>
      </c>
    </row>
    <row r="201" spans="1:11" hidden="1" x14ac:dyDescent="0.3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99.95</v>
      </c>
      <c r="G201">
        <f>Online_Sales_Data[[#This Row],[Units Sold]]*Online_Sales_Data[[#This Row],[Unit Price]]</f>
        <v>99.95</v>
      </c>
      <c r="H201">
        <v>99.95</v>
      </c>
      <c r="I201">
        <f>Online_Sales_Data[[#This Row],[Expected Revenue]]-Online_Sales_Data[[#This Row],[Total Revenue]]</f>
        <v>0</v>
      </c>
      <c r="J201" t="s">
        <v>15</v>
      </c>
      <c r="K201" t="s">
        <v>16</v>
      </c>
    </row>
    <row r="202" spans="1:11" hidden="1" x14ac:dyDescent="0.3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59.99</v>
      </c>
      <c r="G202">
        <f>Online_Sales_Data[[#This Row],[Units Sold]]*Online_Sales_Data[[#This Row],[Unit Price]]</f>
        <v>179.97</v>
      </c>
      <c r="H202">
        <v>179.97</v>
      </c>
      <c r="I202">
        <f>Online_Sales_Data[[#This Row],[Expected Revenue]]-Online_Sales_Data[[#This Row],[Total Revenue]]</f>
        <v>0</v>
      </c>
      <c r="J202" t="s">
        <v>19</v>
      </c>
      <c r="K202" t="s">
        <v>20</v>
      </c>
    </row>
    <row r="203" spans="1:11" x14ac:dyDescent="0.3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14.99</v>
      </c>
      <c r="G203">
        <f>Online_Sales_Data[[#This Row],[Units Sold]]*Online_Sales_Data[[#This Row],[Unit Price]]</f>
        <v>29.98</v>
      </c>
      <c r="H203">
        <v>29.98</v>
      </c>
      <c r="I203">
        <f>Online_Sales_Data[[#This Row],[Expected Revenue]]-Online_Sales_Data[[#This Row],[Total Revenue]]</f>
        <v>0</v>
      </c>
      <c r="J203" t="s">
        <v>11</v>
      </c>
      <c r="K203" t="s">
        <v>12</v>
      </c>
    </row>
    <row r="204" spans="1:11" hidden="1" x14ac:dyDescent="0.3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f>Online_Sales_Data[[#This Row],[Units Sold]]*Online_Sales_Data[[#This Row],[Unit Price]]</f>
        <v>52</v>
      </c>
      <c r="H204">
        <v>52</v>
      </c>
      <c r="I204">
        <f>Online_Sales_Data[[#This Row],[Expected Revenue]]-Online_Sales_Data[[#This Row],[Total Revenue]]</f>
        <v>0</v>
      </c>
      <c r="J204" t="s">
        <v>15</v>
      </c>
      <c r="K204" t="s">
        <v>16</v>
      </c>
    </row>
    <row r="205" spans="1:11" x14ac:dyDescent="0.3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399.99</v>
      </c>
      <c r="G205">
        <f>Online_Sales_Data[[#This Row],[Units Sold]]*Online_Sales_Data[[#This Row],[Unit Price]]</f>
        <v>399.99</v>
      </c>
      <c r="H205">
        <v>399.99</v>
      </c>
      <c r="I205">
        <f>Online_Sales_Data[[#This Row],[Expected Revenue]]-Online_Sales_Data[[#This Row],[Total Revenue]]</f>
        <v>0</v>
      </c>
      <c r="J205" t="s">
        <v>19</v>
      </c>
      <c r="K205" t="s">
        <v>12</v>
      </c>
    </row>
    <row r="206" spans="1:11" x14ac:dyDescent="0.3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299.99</v>
      </c>
      <c r="G206">
        <f>Online_Sales_Data[[#This Row],[Units Sold]]*Online_Sales_Data[[#This Row],[Unit Price]]</f>
        <v>299.99</v>
      </c>
      <c r="H206">
        <v>299.99</v>
      </c>
      <c r="I206">
        <f>Online_Sales_Data[[#This Row],[Expected Revenue]]-Online_Sales_Data[[#This Row],[Total Revenue]]</f>
        <v>0</v>
      </c>
      <c r="J206" t="s">
        <v>11</v>
      </c>
      <c r="K206" t="s">
        <v>12</v>
      </c>
    </row>
    <row r="207" spans="1:11" hidden="1" x14ac:dyDescent="0.3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379.99</v>
      </c>
      <c r="G207">
        <f>Online_Sales_Data[[#This Row],[Units Sold]]*Online_Sales_Data[[#This Row],[Unit Price]]</f>
        <v>379.99</v>
      </c>
      <c r="H207">
        <v>379.99</v>
      </c>
      <c r="I207">
        <f>Online_Sales_Data[[#This Row],[Expected Revenue]]-Online_Sales_Data[[#This Row],[Total Revenue]]</f>
        <v>0</v>
      </c>
      <c r="J207" t="s">
        <v>15</v>
      </c>
      <c r="K207" t="s">
        <v>16</v>
      </c>
    </row>
    <row r="208" spans="1:11" hidden="1" x14ac:dyDescent="0.3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f>Online_Sales_Data[[#This Row],[Units Sold]]*Online_Sales_Data[[#This Row],[Unit Price]]</f>
        <v>196</v>
      </c>
      <c r="H208">
        <v>196</v>
      </c>
      <c r="I208">
        <f>Online_Sales_Data[[#This Row],[Expected Revenue]]-Online_Sales_Data[[#This Row],[Total Revenue]]</f>
        <v>0</v>
      </c>
      <c r="J208" t="s">
        <v>19</v>
      </c>
      <c r="K208" t="s">
        <v>20</v>
      </c>
    </row>
    <row r="209" spans="1:11" x14ac:dyDescent="0.3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16.989999999999998</v>
      </c>
      <c r="G209">
        <f>Online_Sales_Data[[#This Row],[Units Sold]]*Online_Sales_Data[[#This Row],[Unit Price]]</f>
        <v>50.97</v>
      </c>
      <c r="H209">
        <v>50.97</v>
      </c>
      <c r="I209">
        <f>Online_Sales_Data[[#This Row],[Expected Revenue]]-Online_Sales_Data[[#This Row],[Total Revenue]]</f>
        <v>0</v>
      </c>
      <c r="J209" t="s">
        <v>11</v>
      </c>
      <c r="K209" t="s">
        <v>12</v>
      </c>
    </row>
    <row r="210" spans="1:11" hidden="1" x14ac:dyDescent="0.3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f>Online_Sales_Data[[#This Row],[Units Sold]]*Online_Sales_Data[[#This Row],[Unit Price]]</f>
        <v>79</v>
      </c>
      <c r="H210">
        <v>79</v>
      </c>
      <c r="I210">
        <f>Online_Sales_Data[[#This Row],[Expected Revenue]]-Online_Sales_Data[[#This Row],[Total Revenue]]</f>
        <v>0</v>
      </c>
      <c r="J210" t="s">
        <v>15</v>
      </c>
      <c r="K210" t="s">
        <v>16</v>
      </c>
    </row>
    <row r="211" spans="1:11" x14ac:dyDescent="0.3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f>Online_Sales_Data[[#This Row],[Units Sold]]*Online_Sales_Data[[#This Row],[Unit Price]]</f>
        <v>129</v>
      </c>
      <c r="H211">
        <v>129</v>
      </c>
      <c r="I211">
        <f>Online_Sales_Data[[#This Row],[Expected Revenue]]-Online_Sales_Data[[#This Row],[Total Revenue]]</f>
        <v>0</v>
      </c>
      <c r="J211" t="s">
        <v>19</v>
      </c>
      <c r="K211" t="s">
        <v>12</v>
      </c>
    </row>
    <row r="212" spans="1:11" x14ac:dyDescent="0.3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749.99</v>
      </c>
      <c r="G212">
        <f>Online_Sales_Data[[#This Row],[Units Sold]]*Online_Sales_Data[[#This Row],[Unit Price]]</f>
        <v>749.99</v>
      </c>
      <c r="H212">
        <v>749.99</v>
      </c>
      <c r="I212">
        <f>Online_Sales_Data[[#This Row],[Expected Revenue]]-Online_Sales_Data[[#This Row],[Total Revenue]]</f>
        <v>0</v>
      </c>
      <c r="J212" t="s">
        <v>11</v>
      </c>
      <c r="K212" t="s">
        <v>12</v>
      </c>
    </row>
    <row r="213" spans="1:11" hidden="1" x14ac:dyDescent="0.3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169.99</v>
      </c>
      <c r="G213">
        <f>Online_Sales_Data[[#This Row],[Units Sold]]*Online_Sales_Data[[#This Row],[Unit Price]]</f>
        <v>339.98</v>
      </c>
      <c r="H213">
        <v>339.98</v>
      </c>
      <c r="I213">
        <f>Online_Sales_Data[[#This Row],[Expected Revenue]]-Online_Sales_Data[[#This Row],[Total Revenue]]</f>
        <v>0</v>
      </c>
      <c r="J213" t="s">
        <v>15</v>
      </c>
      <c r="K213" t="s">
        <v>16</v>
      </c>
    </row>
    <row r="214" spans="1:11" hidden="1" x14ac:dyDescent="0.3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9.9</v>
      </c>
      <c r="G214">
        <f>Online_Sales_Data[[#This Row],[Units Sold]]*Online_Sales_Data[[#This Row],[Unit Price]]</f>
        <v>39.6</v>
      </c>
      <c r="H214">
        <v>39.6</v>
      </c>
      <c r="I214">
        <f>Online_Sales_Data[[#This Row],[Expected Revenue]]-Online_Sales_Data[[#This Row],[Total Revenue]]</f>
        <v>0</v>
      </c>
      <c r="J214" t="s">
        <v>19</v>
      </c>
      <c r="K214" t="s">
        <v>20</v>
      </c>
    </row>
    <row r="215" spans="1:11" x14ac:dyDescent="0.3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10.99</v>
      </c>
      <c r="G215">
        <f>Online_Sales_Data[[#This Row],[Units Sold]]*Online_Sales_Data[[#This Row],[Unit Price]]</f>
        <v>32.97</v>
      </c>
      <c r="H215">
        <v>32.97</v>
      </c>
      <c r="I215">
        <f>Online_Sales_Data[[#This Row],[Expected Revenue]]-Online_Sales_Data[[#This Row],[Total Revenue]]</f>
        <v>0</v>
      </c>
      <c r="J215" t="s">
        <v>11</v>
      </c>
      <c r="K215" t="s">
        <v>12</v>
      </c>
    </row>
    <row r="216" spans="1:11" hidden="1" x14ac:dyDescent="0.3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f>Online_Sales_Data[[#This Row],[Units Sold]]*Online_Sales_Data[[#This Row],[Unit Price]]</f>
        <v>58</v>
      </c>
      <c r="H216">
        <v>58</v>
      </c>
      <c r="I216">
        <f>Online_Sales_Data[[#This Row],[Expected Revenue]]-Online_Sales_Data[[#This Row],[Total Revenue]]</f>
        <v>0</v>
      </c>
      <c r="J216" t="s">
        <v>15</v>
      </c>
      <c r="K216" t="s">
        <v>16</v>
      </c>
    </row>
    <row r="217" spans="1:11" x14ac:dyDescent="0.3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349.99</v>
      </c>
      <c r="G217">
        <f>Online_Sales_Data[[#This Row],[Units Sold]]*Online_Sales_Data[[#This Row],[Unit Price]]</f>
        <v>349.99</v>
      </c>
      <c r="H217">
        <v>349.99</v>
      </c>
      <c r="I217">
        <f>Online_Sales_Data[[#This Row],[Expected Revenue]]-Online_Sales_Data[[#This Row],[Total Revenue]]</f>
        <v>0</v>
      </c>
      <c r="J217" t="s">
        <v>19</v>
      </c>
      <c r="K217" t="s">
        <v>12</v>
      </c>
    </row>
    <row r="218" spans="1:11" x14ac:dyDescent="0.3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f>Online_Sales_Data[[#This Row],[Units Sold]]*Online_Sales_Data[[#This Row],[Unit Price]]</f>
        <v>2399</v>
      </c>
      <c r="H218">
        <v>2399</v>
      </c>
      <c r="I218">
        <f>Online_Sales_Data[[#This Row],[Expected Revenue]]-Online_Sales_Data[[#This Row],[Total Revenue]]</f>
        <v>0</v>
      </c>
      <c r="J218" t="s">
        <v>11</v>
      </c>
      <c r="K218" t="s">
        <v>12</v>
      </c>
    </row>
    <row r="219" spans="1:11" hidden="1" x14ac:dyDescent="0.3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449.99</v>
      </c>
      <c r="G219">
        <f>Online_Sales_Data[[#This Row],[Units Sold]]*Online_Sales_Data[[#This Row],[Unit Price]]</f>
        <v>449.99</v>
      </c>
      <c r="H219">
        <v>449.99</v>
      </c>
      <c r="I219">
        <f>Online_Sales_Data[[#This Row],[Expected Revenue]]-Online_Sales_Data[[#This Row],[Total Revenue]]</f>
        <v>0</v>
      </c>
      <c r="J219" t="s">
        <v>15</v>
      </c>
      <c r="K219" t="s">
        <v>16</v>
      </c>
    </row>
    <row r="220" spans="1:11" hidden="1" x14ac:dyDescent="0.3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49.99</v>
      </c>
      <c r="G220">
        <f>Online_Sales_Data[[#This Row],[Units Sold]]*Online_Sales_Data[[#This Row],[Unit Price]]</f>
        <v>149.97</v>
      </c>
      <c r="H220">
        <v>149.97</v>
      </c>
      <c r="I220">
        <f>Online_Sales_Data[[#This Row],[Expected Revenue]]-Online_Sales_Data[[#This Row],[Total Revenue]]</f>
        <v>0</v>
      </c>
      <c r="J220" t="s">
        <v>19</v>
      </c>
      <c r="K220" t="s">
        <v>20</v>
      </c>
    </row>
    <row r="221" spans="1:11" x14ac:dyDescent="0.3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12.99</v>
      </c>
      <c r="G221">
        <f>Online_Sales_Data[[#This Row],[Units Sold]]*Online_Sales_Data[[#This Row],[Unit Price]]</f>
        <v>25.98</v>
      </c>
      <c r="H221">
        <v>25.98</v>
      </c>
      <c r="I221">
        <f>Online_Sales_Data[[#This Row],[Expected Revenue]]-Online_Sales_Data[[#This Row],[Total Revenue]]</f>
        <v>0</v>
      </c>
      <c r="J221" t="s">
        <v>11</v>
      </c>
      <c r="K221" t="s">
        <v>12</v>
      </c>
    </row>
    <row r="222" spans="1:11" hidden="1" x14ac:dyDescent="0.3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f>Online_Sales_Data[[#This Row],[Units Sold]]*Online_Sales_Data[[#This Row],[Unit Price]]</f>
        <v>27</v>
      </c>
      <c r="H222">
        <v>27</v>
      </c>
      <c r="I222">
        <f>Online_Sales_Data[[#This Row],[Expected Revenue]]-Online_Sales_Data[[#This Row],[Total Revenue]]</f>
        <v>0</v>
      </c>
      <c r="J222" t="s">
        <v>15</v>
      </c>
      <c r="K222" t="s">
        <v>16</v>
      </c>
    </row>
    <row r="223" spans="1:11" x14ac:dyDescent="0.3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599.99</v>
      </c>
      <c r="G223">
        <f>Online_Sales_Data[[#This Row],[Units Sold]]*Online_Sales_Data[[#This Row],[Unit Price]]</f>
        <v>599.99</v>
      </c>
      <c r="H223">
        <v>599.99</v>
      </c>
      <c r="I223">
        <f>Online_Sales_Data[[#This Row],[Expected Revenue]]-Online_Sales_Data[[#This Row],[Total Revenue]]</f>
        <v>0</v>
      </c>
      <c r="J223" t="s">
        <v>19</v>
      </c>
      <c r="K223" t="s">
        <v>12</v>
      </c>
    </row>
    <row r="224" spans="1:11" x14ac:dyDescent="0.3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49.99</v>
      </c>
      <c r="G224">
        <f>Online_Sales_Data[[#This Row],[Units Sold]]*Online_Sales_Data[[#This Row],[Unit Price]]</f>
        <v>199.96</v>
      </c>
      <c r="H224">
        <v>199.96</v>
      </c>
      <c r="I224">
        <f>Online_Sales_Data[[#This Row],[Expected Revenue]]-Online_Sales_Data[[#This Row],[Total Revenue]]</f>
        <v>0</v>
      </c>
      <c r="J224" t="s">
        <v>11</v>
      </c>
      <c r="K224" t="s">
        <v>12</v>
      </c>
    </row>
    <row r="225" spans="1:11" hidden="1" x14ac:dyDescent="0.3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229.99</v>
      </c>
      <c r="G225">
        <f>Online_Sales_Data[[#This Row],[Units Sold]]*Online_Sales_Data[[#This Row],[Unit Price]]</f>
        <v>459.98</v>
      </c>
      <c r="H225">
        <v>459.98</v>
      </c>
      <c r="I225">
        <f>Online_Sales_Data[[#This Row],[Expected Revenue]]-Online_Sales_Data[[#This Row],[Total Revenue]]</f>
        <v>0</v>
      </c>
      <c r="J225" t="s">
        <v>15</v>
      </c>
      <c r="K225" t="s">
        <v>16</v>
      </c>
    </row>
    <row r="226" spans="1:11" hidden="1" x14ac:dyDescent="0.3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44.99</v>
      </c>
      <c r="G226">
        <f>Online_Sales_Data[[#This Row],[Units Sold]]*Online_Sales_Data[[#This Row],[Unit Price]]</f>
        <v>89.98</v>
      </c>
      <c r="H226">
        <v>89.98</v>
      </c>
      <c r="I226">
        <f>Online_Sales_Data[[#This Row],[Expected Revenue]]-Online_Sales_Data[[#This Row],[Total Revenue]]</f>
        <v>0</v>
      </c>
      <c r="J226" t="s">
        <v>19</v>
      </c>
      <c r="K226" t="s">
        <v>20</v>
      </c>
    </row>
    <row r="227" spans="1:11" x14ac:dyDescent="0.3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26.99</v>
      </c>
      <c r="G227">
        <f>Online_Sales_Data[[#This Row],[Units Sold]]*Online_Sales_Data[[#This Row],[Unit Price]]</f>
        <v>80.97</v>
      </c>
      <c r="H227">
        <v>80.97</v>
      </c>
      <c r="I227">
        <f>Online_Sales_Data[[#This Row],[Expected Revenue]]-Online_Sales_Data[[#This Row],[Total Revenue]]</f>
        <v>0</v>
      </c>
      <c r="J227" t="s">
        <v>11</v>
      </c>
      <c r="K227" t="s">
        <v>12</v>
      </c>
    </row>
    <row r="228" spans="1:11" hidden="1" x14ac:dyDescent="0.3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6.7</v>
      </c>
      <c r="G228">
        <f>Online_Sales_Data[[#This Row],[Units Sold]]*Online_Sales_Data[[#This Row],[Unit Price]]</f>
        <v>6.7</v>
      </c>
      <c r="H228">
        <v>6.7</v>
      </c>
      <c r="I228">
        <f>Online_Sales_Data[[#This Row],[Expected Revenue]]-Online_Sales_Data[[#This Row],[Total Revenue]]</f>
        <v>0</v>
      </c>
      <c r="J228" t="s">
        <v>15</v>
      </c>
      <c r="K228" t="s">
        <v>16</v>
      </c>
    </row>
    <row r="229" spans="1:11" x14ac:dyDescent="0.3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149.94999999999999</v>
      </c>
      <c r="G229">
        <f>Online_Sales_Data[[#This Row],[Units Sold]]*Online_Sales_Data[[#This Row],[Unit Price]]</f>
        <v>299.89999999999998</v>
      </c>
      <c r="H229">
        <v>299.89999999999998</v>
      </c>
      <c r="I229">
        <f>Online_Sales_Data[[#This Row],[Expected Revenue]]-Online_Sales_Data[[#This Row],[Total Revenue]]</f>
        <v>0</v>
      </c>
      <c r="J229" t="s">
        <v>19</v>
      </c>
      <c r="K229" t="s">
        <v>12</v>
      </c>
    </row>
    <row r="230" spans="1:11" x14ac:dyDescent="0.3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f>Online_Sales_Data[[#This Row],[Units Sold]]*Online_Sales_Data[[#This Row],[Unit Price]]</f>
        <v>169</v>
      </c>
      <c r="H230">
        <v>169</v>
      </c>
      <c r="I230">
        <f>Online_Sales_Data[[#This Row],[Expected Revenue]]-Online_Sales_Data[[#This Row],[Total Revenue]]</f>
        <v>0</v>
      </c>
      <c r="J230" t="s">
        <v>11</v>
      </c>
      <c r="K230" t="s">
        <v>12</v>
      </c>
    </row>
    <row r="231" spans="1:11" hidden="1" x14ac:dyDescent="0.3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f>Online_Sales_Data[[#This Row],[Units Sold]]*Online_Sales_Data[[#This Row],[Unit Price]]</f>
        <v>599</v>
      </c>
      <c r="H231">
        <v>599</v>
      </c>
      <c r="I231">
        <f>Online_Sales_Data[[#This Row],[Expected Revenue]]-Online_Sales_Data[[#This Row],[Total Revenue]]</f>
        <v>0</v>
      </c>
      <c r="J231" t="s">
        <v>15</v>
      </c>
      <c r="K231" t="s">
        <v>16</v>
      </c>
    </row>
    <row r="232" spans="1:11" hidden="1" x14ac:dyDescent="0.3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64.989999999999995</v>
      </c>
      <c r="G232">
        <f>Online_Sales_Data[[#This Row],[Units Sold]]*Online_Sales_Data[[#This Row],[Unit Price]]</f>
        <v>259.95999999999998</v>
      </c>
      <c r="H232">
        <v>259.95999999999998</v>
      </c>
      <c r="I232">
        <f>Online_Sales_Data[[#This Row],[Expected Revenue]]-Online_Sales_Data[[#This Row],[Total Revenue]]</f>
        <v>0</v>
      </c>
      <c r="J232" t="s">
        <v>19</v>
      </c>
      <c r="K232" t="s">
        <v>20</v>
      </c>
    </row>
    <row r="233" spans="1:11" x14ac:dyDescent="0.3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9.99</v>
      </c>
      <c r="G233">
        <f>Online_Sales_Data[[#This Row],[Units Sold]]*Online_Sales_Data[[#This Row],[Unit Price]]</f>
        <v>19.98</v>
      </c>
      <c r="H233">
        <v>19.98</v>
      </c>
      <c r="I233">
        <f>Online_Sales_Data[[#This Row],[Expected Revenue]]-Online_Sales_Data[[#This Row],[Total Revenue]]</f>
        <v>0</v>
      </c>
      <c r="J233" t="s">
        <v>11</v>
      </c>
      <c r="K233" t="s">
        <v>12</v>
      </c>
    </row>
    <row r="234" spans="1:11" hidden="1" x14ac:dyDescent="0.3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f>Online_Sales_Data[[#This Row],[Units Sold]]*Online_Sales_Data[[#This Row],[Unit Price]]</f>
        <v>24</v>
      </c>
      <c r="H234">
        <v>24</v>
      </c>
      <c r="I234">
        <f>Online_Sales_Data[[#This Row],[Expected Revenue]]-Online_Sales_Data[[#This Row],[Total Revenue]]</f>
        <v>0</v>
      </c>
      <c r="J234" t="s">
        <v>15</v>
      </c>
      <c r="K234" t="s">
        <v>16</v>
      </c>
    </row>
    <row r="235" spans="1:11" x14ac:dyDescent="0.3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32.950000000000003</v>
      </c>
      <c r="G235">
        <f>Online_Sales_Data[[#This Row],[Units Sold]]*Online_Sales_Data[[#This Row],[Unit Price]]</f>
        <v>98.850000000000009</v>
      </c>
      <c r="H235">
        <v>98.85</v>
      </c>
      <c r="I235">
        <f>Online_Sales_Data[[#This Row],[Expected Revenue]]-Online_Sales_Data[[#This Row],[Total Revenue]]</f>
        <v>0</v>
      </c>
      <c r="J235" t="s">
        <v>19</v>
      </c>
      <c r="K235" t="s">
        <v>12</v>
      </c>
    </row>
    <row r="236" spans="1:11" x14ac:dyDescent="0.3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f>Online_Sales_Data[[#This Row],[Units Sold]]*Online_Sales_Data[[#This Row],[Unit Price]]</f>
        <v>299</v>
      </c>
      <c r="H236">
        <v>299</v>
      </c>
      <c r="I236">
        <f>Online_Sales_Data[[#This Row],[Expected Revenue]]-Online_Sales_Data[[#This Row],[Total Revenue]]</f>
        <v>0</v>
      </c>
      <c r="J236" t="s">
        <v>11</v>
      </c>
      <c r="K236" t="s">
        <v>12</v>
      </c>
    </row>
    <row r="237" spans="1:11" hidden="1" x14ac:dyDescent="0.3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159.99</v>
      </c>
      <c r="G237">
        <f>Online_Sales_Data[[#This Row],[Units Sold]]*Online_Sales_Data[[#This Row],[Unit Price]]</f>
        <v>159.99</v>
      </c>
      <c r="H237">
        <v>159.99</v>
      </c>
      <c r="I237">
        <f>Online_Sales_Data[[#This Row],[Expected Revenue]]-Online_Sales_Data[[#This Row],[Total Revenue]]</f>
        <v>0</v>
      </c>
      <c r="J237" t="s">
        <v>15</v>
      </c>
      <c r="K237" t="s">
        <v>16</v>
      </c>
    </row>
    <row r="238" spans="1:11" hidden="1" x14ac:dyDescent="0.3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f>Online_Sales_Data[[#This Row],[Units Sold]]*Online_Sales_Data[[#This Row],[Unit Price]]</f>
        <v>270</v>
      </c>
      <c r="H238">
        <v>270</v>
      </c>
      <c r="I238">
        <f>Online_Sales_Data[[#This Row],[Expected Revenue]]-Online_Sales_Data[[#This Row],[Total Revenue]]</f>
        <v>0</v>
      </c>
      <c r="J238" t="s">
        <v>19</v>
      </c>
      <c r="K238" t="s">
        <v>20</v>
      </c>
    </row>
    <row r="239" spans="1:11" x14ac:dyDescent="0.3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10.99</v>
      </c>
      <c r="G239">
        <f>Online_Sales_Data[[#This Row],[Units Sold]]*Online_Sales_Data[[#This Row],[Unit Price]]</f>
        <v>32.97</v>
      </c>
      <c r="H239">
        <v>32.97</v>
      </c>
      <c r="I239">
        <f>Online_Sales_Data[[#This Row],[Expected Revenue]]-Online_Sales_Data[[#This Row],[Total Revenue]]</f>
        <v>0</v>
      </c>
      <c r="J239" t="s">
        <v>11</v>
      </c>
      <c r="K239" t="s">
        <v>12</v>
      </c>
    </row>
    <row r="240" spans="1:11" hidden="1" x14ac:dyDescent="0.3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f>Online_Sales_Data[[#This Row],[Units Sold]]*Online_Sales_Data[[#This Row],[Unit Price]]</f>
        <v>55</v>
      </c>
      <c r="H240">
        <v>55</v>
      </c>
      <c r="I240">
        <f>Online_Sales_Data[[#This Row],[Expected Revenue]]-Online_Sales_Data[[#This Row],[Total Revenue]]</f>
        <v>0</v>
      </c>
      <c r="J240" t="s">
        <v>15</v>
      </c>
      <c r="K240" t="s">
        <v>16</v>
      </c>
    </row>
    <row r="241" spans="1:11" x14ac:dyDescent="0.3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29.99</v>
      </c>
      <c r="G241">
        <f>Online_Sales_Data[[#This Row],[Units Sold]]*Online_Sales_Data[[#This Row],[Unit Price]]</f>
        <v>59.98</v>
      </c>
      <c r="H241">
        <v>59.98</v>
      </c>
      <c r="I241">
        <f>Online_Sales_Data[[#This Row],[Expected Revenue]]-Online_Sales_Data[[#This Row],[Total Revenue]]</f>
        <v>0</v>
      </c>
      <c r="J241" t="s">
        <v>19</v>
      </c>
      <c r="K24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2623-61C3-4D66-9B43-B70A5675FE98}">
  <dimension ref="A3:B7"/>
  <sheetViews>
    <sheetView showGridLines="0" workbookViewId="0">
      <selection activeCell="A4" sqref="A4:B4"/>
    </sheetView>
  </sheetViews>
  <sheetFormatPr defaultRowHeight="14.4" x14ac:dyDescent="0.3"/>
  <cols>
    <col min="1" max="1" width="17.21875" bestFit="1" customWidth="1"/>
    <col min="2" max="2" width="21" bestFit="1" customWidth="1"/>
  </cols>
  <sheetData>
    <row r="3" spans="1:2" x14ac:dyDescent="0.3">
      <c r="A3" s="2" t="s">
        <v>255</v>
      </c>
      <c r="B3" t="s">
        <v>257</v>
      </c>
    </row>
    <row r="4" spans="1:2" x14ac:dyDescent="0.3">
      <c r="A4" s="3" t="s">
        <v>12</v>
      </c>
      <c r="B4" s="4">
        <v>51170.860000000015</v>
      </c>
    </row>
    <row r="5" spans="1:2" x14ac:dyDescent="0.3">
      <c r="A5" s="3" t="s">
        <v>20</v>
      </c>
      <c r="B5" s="4">
        <v>8128.9300000000012</v>
      </c>
    </row>
    <row r="6" spans="1:2" x14ac:dyDescent="0.3">
      <c r="A6" s="3" t="s">
        <v>16</v>
      </c>
      <c r="B6" s="4">
        <v>21268.060000000005</v>
      </c>
    </row>
    <row r="7" spans="1:2" x14ac:dyDescent="0.3">
      <c r="A7" s="3" t="s">
        <v>256</v>
      </c>
      <c r="B7" s="4">
        <v>80567.85000000002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94EF-1E2B-4ED2-A433-1BA6C1EEA2F3}">
  <dimension ref="A11:B18"/>
  <sheetViews>
    <sheetView showGridLines="0" workbookViewId="0">
      <selection activeCell="B22" sqref="B22"/>
    </sheetView>
  </sheetViews>
  <sheetFormatPr defaultRowHeight="14.4" x14ac:dyDescent="0.3"/>
  <cols>
    <col min="1" max="1" width="17.21875" bestFit="1" customWidth="1"/>
    <col min="2" max="2" width="25" bestFit="1" customWidth="1"/>
  </cols>
  <sheetData>
    <row r="11" spans="1:2" x14ac:dyDescent="0.3">
      <c r="A11" s="2" t="s">
        <v>255</v>
      </c>
      <c r="B11" t="s">
        <v>258</v>
      </c>
    </row>
    <row r="12" spans="1:2" x14ac:dyDescent="0.3">
      <c r="A12" s="3" t="s">
        <v>12</v>
      </c>
      <c r="B12" s="7">
        <v>120</v>
      </c>
    </row>
    <row r="13" spans="1:2" x14ac:dyDescent="0.3">
      <c r="A13" s="3" t="s">
        <v>20</v>
      </c>
      <c r="B13" s="7">
        <v>40</v>
      </c>
    </row>
    <row r="14" spans="1:2" x14ac:dyDescent="0.3">
      <c r="A14" s="3" t="s">
        <v>16</v>
      </c>
      <c r="B14" s="7">
        <v>80</v>
      </c>
    </row>
    <row r="15" spans="1:2" x14ac:dyDescent="0.3">
      <c r="A15" s="3" t="s">
        <v>256</v>
      </c>
      <c r="B15" s="7">
        <v>240</v>
      </c>
    </row>
    <row r="18" spans="1:1" x14ac:dyDescent="0.3">
      <c r="A18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EC02-E4D5-41EB-A42E-CA6F05BCECE4}">
  <dimension ref="A3:E8"/>
  <sheetViews>
    <sheetView showGridLines="0" workbookViewId="0">
      <selection activeCell="C3" sqref="C3"/>
    </sheetView>
  </sheetViews>
  <sheetFormatPr defaultRowHeight="14.4" x14ac:dyDescent="0.3"/>
  <cols>
    <col min="1" max="1" width="25" bestFit="1" customWidth="1"/>
    <col min="2" max="2" width="18.5546875" bestFit="1" customWidth="1"/>
    <col min="3" max="3" width="7.88671875" bestFit="1" customWidth="1"/>
    <col min="4" max="4" width="13.33203125" bestFit="1" customWidth="1"/>
    <col min="5" max="5" width="10" bestFit="1" customWidth="1"/>
  </cols>
  <sheetData>
    <row r="3" spans="1:5" x14ac:dyDescent="0.3">
      <c r="A3" s="2" t="s">
        <v>258</v>
      </c>
      <c r="B3" s="2" t="s">
        <v>259</v>
      </c>
    </row>
    <row r="4" spans="1:5" x14ac:dyDescent="0.3">
      <c r="A4" s="2" t="s">
        <v>255</v>
      </c>
      <c r="B4" t="s">
        <v>19</v>
      </c>
      <c r="C4" t="s">
        <v>15</v>
      </c>
      <c r="D4" t="s">
        <v>11</v>
      </c>
      <c r="E4" t="s">
        <v>256</v>
      </c>
    </row>
    <row r="5" spans="1:5" x14ac:dyDescent="0.3">
      <c r="A5" s="3" t="s">
        <v>12</v>
      </c>
      <c r="B5" s="5">
        <v>0.33333333333333331</v>
      </c>
      <c r="C5" s="5">
        <v>0</v>
      </c>
      <c r="D5" s="5">
        <v>0.66666666666666663</v>
      </c>
      <c r="E5" s="5">
        <v>1</v>
      </c>
    </row>
    <row r="6" spans="1:5" x14ac:dyDescent="0.3">
      <c r="A6" s="3" t="s">
        <v>20</v>
      </c>
      <c r="B6" s="5">
        <v>1</v>
      </c>
      <c r="C6" s="5">
        <v>0</v>
      </c>
      <c r="D6" s="5">
        <v>0</v>
      </c>
      <c r="E6" s="5">
        <v>1</v>
      </c>
    </row>
    <row r="7" spans="1:5" x14ac:dyDescent="0.3">
      <c r="A7" s="3" t="s">
        <v>16</v>
      </c>
      <c r="B7" s="5">
        <v>0</v>
      </c>
      <c r="C7" s="5">
        <v>1</v>
      </c>
      <c r="D7" s="5">
        <v>0</v>
      </c>
      <c r="E7" s="5">
        <v>1</v>
      </c>
    </row>
    <row r="8" spans="1:5" x14ac:dyDescent="0.3">
      <c r="A8" s="3" t="s">
        <v>256</v>
      </c>
      <c r="B8" s="5">
        <v>0.33333333333333331</v>
      </c>
      <c r="C8" s="5">
        <v>0.33333333333333331</v>
      </c>
      <c r="D8" s="5">
        <v>0.33333333333333331</v>
      </c>
      <c r="E8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B149-7900-4135-BB00-8CBEA6378469}">
  <dimension ref="A3:E16"/>
  <sheetViews>
    <sheetView zoomScale="119" workbookViewId="0">
      <selection activeCell="C16" sqref="C16"/>
    </sheetView>
  </sheetViews>
  <sheetFormatPr defaultRowHeight="14.4" x14ac:dyDescent="0.3"/>
  <cols>
    <col min="1" max="2" width="21.109375" bestFit="1" customWidth="1"/>
    <col min="3" max="3" width="13.44140625" bestFit="1" customWidth="1"/>
    <col min="4" max="5" width="14.44140625" bestFit="1" customWidth="1"/>
    <col min="9" max="9" width="12.88671875" bestFit="1" customWidth="1"/>
    <col min="10" max="10" width="18.109375" bestFit="1" customWidth="1"/>
    <col min="11" max="11" width="12.88671875" bestFit="1" customWidth="1"/>
  </cols>
  <sheetData>
    <row r="3" spans="1:5" x14ac:dyDescent="0.3">
      <c r="A3" s="2" t="s">
        <v>257</v>
      </c>
      <c r="B3" s="2" t="s">
        <v>259</v>
      </c>
    </row>
    <row r="4" spans="1:5" x14ac:dyDescent="0.3">
      <c r="A4" s="2" t="s">
        <v>255</v>
      </c>
      <c r="B4" t="s">
        <v>12</v>
      </c>
      <c r="C4" t="s">
        <v>20</v>
      </c>
      <c r="D4" t="s">
        <v>16</v>
      </c>
      <c r="E4" t="s">
        <v>256</v>
      </c>
    </row>
    <row r="5" spans="1:5" x14ac:dyDescent="0.3">
      <c r="A5" s="3" t="s">
        <v>23</v>
      </c>
      <c r="B5" s="4"/>
      <c r="C5" s="4"/>
      <c r="D5" s="4">
        <v>2621.8999999999996</v>
      </c>
      <c r="E5" s="4">
        <v>2621.8999999999996</v>
      </c>
    </row>
    <row r="6" spans="1:5" x14ac:dyDescent="0.3">
      <c r="A6" s="3" t="s">
        <v>21</v>
      </c>
      <c r="B6" s="4">
        <v>1861.9300000000007</v>
      </c>
      <c r="C6" s="4"/>
      <c r="D6" s="4"/>
      <c r="E6" s="4">
        <v>1861.9300000000007</v>
      </c>
    </row>
    <row r="7" spans="1:5" x14ac:dyDescent="0.3">
      <c r="A7" s="3" t="s">
        <v>17</v>
      </c>
      <c r="B7" s="4"/>
      <c r="C7" s="4">
        <v>8128.9300000000012</v>
      </c>
      <c r="D7" s="4"/>
      <c r="E7" s="4">
        <v>8128.9300000000012</v>
      </c>
    </row>
    <row r="8" spans="1:5" x14ac:dyDescent="0.3">
      <c r="A8" s="3" t="s">
        <v>9</v>
      </c>
      <c r="B8" s="4">
        <v>34982.410000000011</v>
      </c>
      <c r="C8" s="4"/>
      <c r="D8" s="4"/>
      <c r="E8" s="4">
        <v>34982.410000000011</v>
      </c>
    </row>
    <row r="9" spans="1:5" x14ac:dyDescent="0.3">
      <c r="A9" s="3" t="s">
        <v>13</v>
      </c>
      <c r="B9" s="4"/>
      <c r="C9" s="4"/>
      <c r="D9" s="4">
        <v>18646.16</v>
      </c>
      <c r="E9" s="4">
        <v>18646.16</v>
      </c>
    </row>
    <row r="10" spans="1:5" x14ac:dyDescent="0.3">
      <c r="A10" s="3" t="s">
        <v>25</v>
      </c>
      <c r="B10" s="4">
        <v>14326.519999999997</v>
      </c>
      <c r="C10" s="4"/>
      <c r="D10" s="4"/>
      <c r="E10" s="4">
        <v>14326.519999999997</v>
      </c>
    </row>
    <row r="11" spans="1:5" x14ac:dyDescent="0.3">
      <c r="A11" s="3" t="s">
        <v>256</v>
      </c>
      <c r="B11" s="4">
        <v>51170.860000000008</v>
      </c>
      <c r="C11" s="4">
        <v>8128.9300000000012</v>
      </c>
      <c r="D11" s="4">
        <v>21268.059999999998</v>
      </c>
      <c r="E11" s="4">
        <v>80567.850000000006</v>
      </c>
    </row>
    <row r="15" spans="1:5" x14ac:dyDescent="0.3">
      <c r="B15" t="s">
        <v>257</v>
      </c>
      <c r="E15" t="s">
        <v>254</v>
      </c>
    </row>
    <row r="16" spans="1:5" x14ac:dyDescent="0.3">
      <c r="B16" s="7">
        <v>80567.850000000079</v>
      </c>
      <c r="C16" s="8">
        <v>51170.86</v>
      </c>
      <c r="E16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07B4-2645-4E28-BB77-355F32F3ECAE}">
  <dimension ref="A1:X29"/>
  <sheetViews>
    <sheetView tabSelected="1" zoomScaleNormal="100" workbookViewId="0">
      <selection activeCell="K1" sqref="K1"/>
    </sheetView>
  </sheetViews>
  <sheetFormatPr defaultRowHeight="14.4" x14ac:dyDescent="0.3"/>
  <sheetData>
    <row r="1" spans="1:2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 t="s">
        <v>260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96EAAC-6F70-46C3-B9B7-3BFFA06D1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dataset</vt:lpstr>
      <vt:lpstr>Receita_por_pagamento</vt:lpstr>
      <vt:lpstr>Quantidade_por_meio</vt:lpstr>
      <vt:lpstr>Pagamento_por_regiao</vt:lpstr>
      <vt:lpstr>Categoria_por_Meio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Casseca</dc:creator>
  <cp:lastModifiedBy>Santiago Casseca</cp:lastModifiedBy>
  <dcterms:created xsi:type="dcterms:W3CDTF">2026-02-20T10:53:31Z</dcterms:created>
  <dcterms:modified xsi:type="dcterms:W3CDTF">2026-02-21T22:56:04Z</dcterms:modified>
</cp:coreProperties>
</file>